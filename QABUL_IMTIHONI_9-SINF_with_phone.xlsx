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500" firstSheet="0" activeTab="0" autoFilterDateGrouping="1"/>
  </bookViews>
  <sheets>
    <sheet name="10-SINF" sheetId="1" state="visible" r:id="rId1"/>
  </sheets>
  <definedNames>
    <definedName name="_xlnm._FilterDatabase" localSheetId="0" hidden="1">'10-SINF'!$N$5:$N$69</definedName>
    <definedName name="_xlnm.Print_Titles" localSheetId="0">'10-SINF'!$1:$5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2"/>
      <b val="1"/>
      <color rgb="FFFFFFFF"/>
      <sz val="18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9"/>
    </font>
    <font>
      <name val="Calibri Light"/>
      <family val="2"/>
      <sz val="11"/>
    </font>
    <font>
      <name val="Arial"/>
      <family val="2"/>
      <i val="1"/>
      <color rgb="FF7F7F7F"/>
      <sz val="9"/>
    </font>
    <font>
      <name val="Arial"/>
      <family val="2"/>
      <color rgb="FFFFFFFF"/>
      <sz val="14"/>
    </font>
    <font>
      <name val="Arial"/>
      <family val="2"/>
      <b val="1"/>
      <color rgb="FFFFFFFF"/>
      <sz val="9"/>
    </font>
    <font>
      <name val="Calibri"/>
      <charset val="1"/>
      <family val="2"/>
      <color theme="1"/>
      <sz val="11"/>
    </font>
    <font>
      <name val="Cambria"/>
      <family val="2"/>
      <sz val="11"/>
      <scheme val="major"/>
    </font>
    <font>
      <name val="Arial"/>
      <i val="1"/>
      <sz val="9"/>
    </font>
  </fonts>
  <fills count="9">
    <fill>
      <patternFill/>
    </fill>
    <fill>
      <patternFill patternType="gray125"/>
    </fill>
    <fill>
      <patternFill patternType="solid">
        <fgColor rgb="FFF5F5F5"/>
        <bgColor rgb="FFFFF7E0"/>
      </patternFill>
    </fill>
    <fill>
      <patternFill patternType="solid">
        <fgColor rgb="FF006E41"/>
        <bgColor rgb="FF008080"/>
      </patternFill>
    </fill>
    <fill>
      <patternFill patternType="solid">
        <fgColor rgb="FF004D2E"/>
        <bgColor rgb="FF006E41"/>
      </patternFill>
    </fill>
    <fill>
      <patternFill patternType="solid">
        <fgColor rgb="FFF48124"/>
        <bgColor rgb="FFFF6600"/>
      </patternFill>
    </fill>
    <fill>
      <patternFill patternType="solid">
        <fgColor rgb="FFFFFFFF"/>
        <bgColor rgb="FFF5F5F5"/>
      </patternFill>
    </fill>
    <fill>
      <patternFill patternType="solid">
        <fgColor rgb="FFFFF7E0"/>
        <bgColor rgb="FFF5F5F5"/>
      </patternFill>
    </fill>
    <fill>
      <patternFill patternType="solid">
        <fgColor rgb="FFFDE7D4"/>
        <bgColor rgb="FFFDE7D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9" fillId="0" borderId="0"/>
    <xf numFmtId="9" fontId="9" fillId="0" borderId="0"/>
  </cellStyleXfs>
  <cellXfs count="20"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6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9" fontId="10" fillId="8" borderId="2" applyAlignment="1" pivotButton="0" quotePrefix="0" xfId="1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9" fontId="10" fillId="8" borderId="2" applyAlignment="1" pivotButton="0" quotePrefix="0" xfId="0">
      <alignment horizontal="center" vertical="center"/>
    </xf>
    <xf numFmtId="0" fontId="11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E41"/>
      <rgbColor rgb="FFBFBFBF"/>
      <rgbColor rgb="FF7F7F7F"/>
      <rgbColor rgb="FF9999FF"/>
      <rgbColor rgb="FF993366"/>
      <rgbColor rgb="FFFFF7E0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48124"/>
      <rgbColor rgb="FFFF6600"/>
      <rgbColor rgb="FF666699"/>
      <rgbColor rgb="FF969696"/>
      <rgbColor rgb="FF003366"/>
      <rgbColor rgb="FF339966"/>
      <rgbColor rgb="FF004D2E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238125</colOff>
      <row>0</row>
      <rowOff>76200</rowOff>
    </from>
    <to>
      <col>2</col>
      <colOff>790575</colOff>
      <row>2</row>
      <rowOff>185962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38125" y="76200"/>
          <a:ext cx="1990725" cy="61458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showGridLines="0" tabSelected="1" zoomScaleNormal="100" workbookViewId="0">
      <pane ySplit="5" topLeftCell="A57" activePane="bottomLeft" state="frozen"/>
      <selection pane="bottomLeft" activeCell="O6" sqref="O6"/>
    </sheetView>
  </sheetViews>
  <sheetFormatPr baseColWidth="8" defaultColWidth="8.7109375" defaultRowHeight="15"/>
  <cols>
    <col width="4" customWidth="1" min="1" max="1"/>
    <col width="17.5703125" customWidth="1" min="2" max="2"/>
    <col width="14.7109375" customWidth="1" min="3" max="3"/>
    <col width="5" customWidth="1" min="4" max="4"/>
    <col width="8.85546875" customWidth="1" min="5" max="5"/>
    <col width="8.42578125" customWidth="1" min="6" max="6"/>
    <col width="5.5703125" customWidth="1" min="7" max="7"/>
    <col width="8.85546875" customWidth="1" min="8" max="8"/>
    <col width="8.42578125" customWidth="1" min="9" max="9"/>
    <col width="5.5703125" customWidth="1" min="10" max="10"/>
    <col width="8.85546875" customWidth="1" min="11" max="11"/>
    <col width="8.42578125" customWidth="1" min="12" max="12"/>
    <col width="5.5703125" customWidth="1" min="13" max="13"/>
    <col width="15.42578125" customWidth="1" min="14" max="14"/>
    <col width="16.85546875" customWidth="1" min="15" max="15"/>
    <col width="7.42578125" customWidth="1" min="16" max="16"/>
    <col width="20.28515625" customWidth="1" min="17" max="17"/>
  </cols>
  <sheetData>
    <row r="1" ht="23.25" customHeight="1">
      <c r="A1" s="8" t="n"/>
      <c r="D1" s="9" t="inlineStr">
        <is>
          <t>ELLIPSE INTERNATIONAL SCHOOL</t>
        </is>
      </c>
    </row>
    <row r="2" ht="16.5" customHeight="1">
      <c r="D2" s="10" t="inlineStr">
        <is>
          <t>QABUL IMTIHONI NATIJALARI  —  9-SINF</t>
        </is>
      </c>
    </row>
    <row r="3" ht="18" customHeight="1">
      <c r="D3" s="11" t="inlineStr">
        <is>
          <t>2026-yil  |  Matematika  •  English  •  Ona tili / Rus tili</t>
        </is>
      </c>
    </row>
    <row r="4" ht="18" customHeight="1">
      <c r="A4" s="1" t="n"/>
      <c r="B4" s="1" t="n"/>
      <c r="C4" s="1" t="n"/>
      <c r="D4" s="1" t="n"/>
      <c r="E4" s="12" t="inlineStr">
        <is>
          <t>Matematika</t>
        </is>
      </c>
      <c r="F4" s="16" t="n"/>
      <c r="G4" s="17" t="n"/>
      <c r="H4" s="13" t="inlineStr">
        <is>
          <t>English</t>
        </is>
      </c>
      <c r="I4" s="16" t="n"/>
      <c r="J4" s="17" t="n"/>
      <c r="K4" s="14" t="inlineStr">
        <is>
          <t>Ona tili / Rus tili</t>
        </is>
      </c>
      <c r="L4" s="16" t="n"/>
      <c r="M4" s="17" t="n"/>
      <c r="N4" s="1" t="n"/>
      <c r="O4" s="1" t="n"/>
      <c r="P4" s="1" t="n"/>
      <c r="Q4" s="1" t="n"/>
    </row>
    <row r="5" ht="36" customHeight="1">
      <c r="A5" s="1" t="inlineStr">
        <is>
          <t>#</t>
        </is>
      </c>
      <c r="B5" s="1" t="inlineStr">
        <is>
          <t>FAMILYA</t>
        </is>
      </c>
      <c r="C5" s="1" t="inlineStr">
        <is>
          <t>ISM</t>
        </is>
      </c>
      <c r="D5" s="1" t="inlineStr">
        <is>
          <t>Sinf</t>
        </is>
      </c>
      <c r="E5" s="1" t="inlineStr">
        <is>
          <t>NOTO'GRI</t>
        </is>
      </c>
      <c r="F5" s="2" t="inlineStr">
        <is>
          <t>TO'G'RI (2.5 BALL)</t>
        </is>
      </c>
      <c r="G5" s="7" t="inlineStr">
        <is>
          <t>Ball</t>
        </is>
      </c>
      <c r="H5" s="1" t="inlineStr">
        <is>
          <t>NOTO'GRI</t>
        </is>
      </c>
      <c r="I5" s="2" t="inlineStr">
        <is>
          <t>TO'G'RI (1.5 BALL)</t>
        </is>
      </c>
      <c r="J5" s="7" t="inlineStr">
        <is>
          <t>Ball</t>
        </is>
      </c>
      <c r="K5" s="1" t="inlineStr">
        <is>
          <t>NOTO'GRI</t>
        </is>
      </c>
      <c r="L5" s="2" t="inlineStr">
        <is>
          <t>TO'G'RI (1 BALL)</t>
        </is>
      </c>
      <c r="M5" s="7" t="inlineStr">
        <is>
          <t>Ball</t>
        </is>
      </c>
      <c r="N5" s="1" t="inlineStr">
        <is>
          <t>UMUMIY %</t>
        </is>
      </c>
      <c r="O5" s="1" t="inlineStr">
        <is>
          <t>NATIJA</t>
        </is>
      </c>
      <c r="P5" s="1" t="inlineStr">
        <is>
          <t>GRANT</t>
        </is>
      </c>
      <c r="Q5" s="1" t="inlineStr">
        <is>
          <t>TELEFON</t>
        </is>
      </c>
    </row>
    <row r="6">
      <c r="A6" s="3" t="n">
        <v>1</v>
      </c>
      <c r="B6" s="4" t="inlineStr">
        <is>
          <t>Abdurahmonova</t>
        </is>
      </c>
      <c r="C6" s="4" t="inlineStr">
        <is>
          <t>Charos</t>
        </is>
      </c>
      <c r="D6" s="3" t="n">
        <v>9</v>
      </c>
      <c r="E6" s="3">
        <f>20-F6</f>
        <v/>
      </c>
      <c r="F6" s="5" t="n"/>
      <c r="G6" s="3">
        <f>IF(L6="","",F6*2.5)</f>
        <v/>
      </c>
      <c r="H6" s="3">
        <f>20-I6</f>
        <v/>
      </c>
      <c r="I6" s="5" t="n"/>
      <c r="J6" s="3">
        <f>IF(L6="","",I6*1.5)</f>
        <v/>
      </c>
      <c r="K6" s="3">
        <f>10-L6</f>
        <v/>
      </c>
      <c r="L6" s="5" t="n"/>
      <c r="M6" s="3">
        <f>IF(L6="","",L6*1)</f>
        <v/>
      </c>
      <c r="N6" s="3">
        <f>IF(L6="","",ROUND(((G6+J6+M6)/90)*100,1))</f>
        <v/>
      </c>
      <c r="O6" s="5" t="n"/>
      <c r="P6" s="18" t="n"/>
      <c r="Q6" s="4" t="n"/>
    </row>
    <row r="7">
      <c r="A7" s="3" t="n">
        <v>2</v>
      </c>
      <c r="B7" s="4" t="inlineStr">
        <is>
          <t>Abdurahmonova</t>
        </is>
      </c>
      <c r="C7" s="4" t="inlineStr">
        <is>
          <t>Dilnura</t>
        </is>
      </c>
      <c r="D7" s="3" t="n">
        <v>9</v>
      </c>
      <c r="E7" s="3">
        <f>20-F7</f>
        <v/>
      </c>
      <c r="F7" s="5" t="n"/>
      <c r="G7" s="3">
        <f>IF(L7="","",F7*2.5)</f>
        <v/>
      </c>
      <c r="H7" s="3">
        <f>20-I7</f>
        <v/>
      </c>
      <c r="I7" s="5" t="n"/>
      <c r="J7" s="3">
        <f>IF(L7="","",I7*1.5)</f>
        <v/>
      </c>
      <c r="K7" s="3">
        <f>10-L7</f>
        <v/>
      </c>
      <c r="L7" s="5" t="n"/>
      <c r="M7" s="3">
        <f>IF(L7="","",L7*1)</f>
        <v/>
      </c>
      <c r="N7" s="3">
        <f>IF(L7="","",ROUND(((G7+J7+M7)/90)*100,1))</f>
        <v/>
      </c>
      <c r="O7" s="5" t="n"/>
      <c r="P7" s="18" t="n"/>
      <c r="Q7" s="4" t="n"/>
    </row>
    <row r="8">
      <c r="A8" s="3" t="n">
        <v>3</v>
      </c>
      <c r="B8" s="4" t="inlineStr">
        <is>
          <t>Abduraxmanov</t>
        </is>
      </c>
      <c r="C8" s="4" t="inlineStr">
        <is>
          <t>Asadbek</t>
        </is>
      </c>
      <c r="D8" s="3" t="n">
        <v>9</v>
      </c>
      <c r="E8" s="3">
        <f>20-F8</f>
        <v/>
      </c>
      <c r="F8" s="5" t="n"/>
      <c r="G8" s="3">
        <f>IF(L8="","",F8*2.5)</f>
        <v/>
      </c>
      <c r="H8" s="3">
        <f>20-I8</f>
        <v/>
      </c>
      <c r="I8" s="5" t="n"/>
      <c r="J8" s="3">
        <f>IF(L8="","",I8*1.5)</f>
        <v/>
      </c>
      <c r="K8" s="3">
        <f>10-L8</f>
        <v/>
      </c>
      <c r="L8" s="5" t="n"/>
      <c r="M8" s="3">
        <f>IF(L8="","",L8*1)</f>
        <v/>
      </c>
      <c r="N8" s="3">
        <f>IF(L8="","",ROUND(((G8+J8+M8)/90)*100,1))</f>
        <v/>
      </c>
      <c r="O8" s="5" t="n"/>
      <c r="P8" s="18" t="n"/>
      <c r="Q8" s="4" t="n"/>
    </row>
    <row r="9">
      <c r="A9" s="3" t="n">
        <v>4</v>
      </c>
      <c r="B9" s="4" t="inlineStr">
        <is>
          <t>Abdusamadov</t>
        </is>
      </c>
      <c r="C9" s="4" t="inlineStr">
        <is>
          <t>Javokhir</t>
        </is>
      </c>
      <c r="D9" s="3" t="n">
        <v>9</v>
      </c>
      <c r="E9" s="3">
        <f>20-F9</f>
        <v/>
      </c>
      <c r="F9" s="5" t="n"/>
      <c r="G9" s="3">
        <f>IF(L9="","",F9*2.5)</f>
        <v/>
      </c>
      <c r="H9" s="3">
        <f>20-I9</f>
        <v/>
      </c>
      <c r="I9" s="5" t="n"/>
      <c r="J9" s="3">
        <f>IF(L9="","",I9*1.5)</f>
        <v/>
      </c>
      <c r="K9" s="3">
        <f>10-L9</f>
        <v/>
      </c>
      <c r="L9" s="5" t="n"/>
      <c r="M9" s="3">
        <f>IF(L9="","",L9*1)</f>
        <v/>
      </c>
      <c r="N9" s="3">
        <f>IF(L9="","",ROUND(((G9+J9+M9)/90)*100,1))</f>
        <v/>
      </c>
      <c r="O9" s="5" t="n"/>
      <c r="P9" s="18" t="n"/>
      <c r="Q9" s="4" t="n"/>
    </row>
    <row r="10">
      <c r="A10" s="3" t="n">
        <v>5</v>
      </c>
      <c r="B10" s="4" t="inlineStr">
        <is>
          <t>Abdusamdov</t>
        </is>
      </c>
      <c r="C10" s="4" t="inlineStr">
        <is>
          <t>SaidAmir</t>
        </is>
      </c>
      <c r="D10" s="3" t="n">
        <v>9</v>
      </c>
      <c r="E10" s="3">
        <f>20-F10</f>
        <v/>
      </c>
      <c r="F10" s="5" t="n"/>
      <c r="G10" s="3">
        <f>IF(L10="","",F10*2.5)</f>
        <v/>
      </c>
      <c r="H10" s="3">
        <f>20-I10</f>
        <v/>
      </c>
      <c r="I10" s="5" t="n"/>
      <c r="J10" s="3">
        <f>IF(L10="","",I10*1.5)</f>
        <v/>
      </c>
      <c r="K10" s="3">
        <f>10-L10</f>
        <v/>
      </c>
      <c r="L10" s="5" t="n"/>
      <c r="M10" s="3">
        <f>IF(L10="","",L10*1)</f>
        <v/>
      </c>
      <c r="N10" s="3">
        <f>IF(L10="","",ROUND(((G10+J10+M10)/90)*100,1))</f>
        <v/>
      </c>
      <c r="O10" s="5" t="n"/>
      <c r="P10" s="18" t="n"/>
      <c r="Q10" s="4" t="n"/>
    </row>
    <row r="11">
      <c r="A11" s="3" t="n">
        <v>6</v>
      </c>
      <c r="B11" s="4" t="inlineStr">
        <is>
          <t>Anvarov</t>
        </is>
      </c>
      <c r="C11" s="4" t="inlineStr">
        <is>
          <t>Temurxon</t>
        </is>
      </c>
      <c r="D11" s="3" t="n">
        <v>9</v>
      </c>
      <c r="E11" s="3">
        <f>20-F11</f>
        <v/>
      </c>
      <c r="F11" s="5" t="n"/>
      <c r="G11" s="3">
        <f>IF(L11="","",F11*2.5)</f>
        <v/>
      </c>
      <c r="H11" s="3">
        <f>20-I11</f>
        <v/>
      </c>
      <c r="I11" s="5" t="n"/>
      <c r="J11" s="3">
        <f>IF(L11="","",I11*1.5)</f>
        <v/>
      </c>
      <c r="K11" s="3">
        <f>10-L11</f>
        <v/>
      </c>
      <c r="L11" s="5" t="n"/>
      <c r="M11" s="3">
        <f>IF(L11="","",L11*1)</f>
        <v/>
      </c>
      <c r="N11" s="3">
        <f>IF(L11="","",ROUND(((G11+J11+M11)/90)*100,1))</f>
        <v/>
      </c>
      <c r="O11" s="5" t="n"/>
      <c r="P11" s="18" t="n"/>
      <c r="Q11" s="4" t="n"/>
    </row>
    <row r="12">
      <c r="A12" s="3" t="n">
        <v>7</v>
      </c>
      <c r="B12" s="4" t="inlineStr">
        <is>
          <t>Artikova</t>
        </is>
      </c>
      <c r="C12" s="4" t="inlineStr">
        <is>
          <t>Jayrona</t>
        </is>
      </c>
      <c r="D12" s="3" t="n">
        <v>9</v>
      </c>
      <c r="E12" s="3">
        <f>20-F12</f>
        <v/>
      </c>
      <c r="F12" s="5" t="n"/>
      <c r="G12" s="3">
        <f>IF(L12="","",F12*2.5)</f>
        <v/>
      </c>
      <c r="H12" s="3">
        <f>20-I12</f>
        <v/>
      </c>
      <c r="I12" s="5" t="n"/>
      <c r="J12" s="3">
        <f>IF(L12="","",I12*1.5)</f>
        <v/>
      </c>
      <c r="K12" s="3">
        <f>10-L12</f>
        <v/>
      </c>
      <c r="L12" s="5" t="n"/>
      <c r="M12" s="3">
        <f>IF(L12="","",L12*1)</f>
        <v/>
      </c>
      <c r="N12" s="3">
        <f>IF(L12="","",ROUND(((G12+J12+M12)/90)*100,1))</f>
        <v/>
      </c>
      <c r="O12" s="5" t="n"/>
      <c r="P12" s="18" t="n"/>
      <c r="Q12" s="4" t="n"/>
    </row>
    <row r="13">
      <c r="A13" s="3" t="n">
        <v>8</v>
      </c>
      <c r="B13" s="4" t="inlineStr">
        <is>
          <t>Asadullayev</t>
        </is>
      </c>
      <c r="C13" s="4" t="inlineStr">
        <is>
          <t>Saiddin</t>
        </is>
      </c>
      <c r="D13" s="3" t="n">
        <v>9</v>
      </c>
      <c r="E13" s="3">
        <f>20-F13</f>
        <v/>
      </c>
      <c r="F13" s="5" t="n"/>
      <c r="G13" s="3">
        <f>IF(L13="","",F13*2.5)</f>
        <v/>
      </c>
      <c r="H13" s="3">
        <f>20-I13</f>
        <v/>
      </c>
      <c r="I13" s="5" t="n"/>
      <c r="J13" s="3">
        <f>IF(L13="","",I13*1.5)</f>
        <v/>
      </c>
      <c r="K13" s="3">
        <f>10-L13</f>
        <v/>
      </c>
      <c r="L13" s="5" t="n"/>
      <c r="M13" s="3">
        <f>IF(L13="","",L13*1)</f>
        <v/>
      </c>
      <c r="N13" s="3">
        <f>IF(L13="","",ROUND(((G13+J13+M13)/90)*100,1))</f>
        <v/>
      </c>
      <c r="O13" s="5" t="n"/>
      <c r="P13" s="18" t="n"/>
      <c r="Q13" s="4" t="n"/>
    </row>
    <row r="14">
      <c r="A14" s="3" t="n">
        <v>9</v>
      </c>
      <c r="B14" s="4" t="inlineStr">
        <is>
          <t>Axmedova</t>
        </is>
      </c>
      <c r="C14" s="4" t="inlineStr">
        <is>
          <t>Asal</t>
        </is>
      </c>
      <c r="D14" s="3" t="n">
        <v>9</v>
      </c>
      <c r="E14" s="3">
        <f>20-F14</f>
        <v/>
      </c>
      <c r="F14" s="5" t="n"/>
      <c r="G14" s="3">
        <f>IF(L14="","",F14*2.5)</f>
        <v/>
      </c>
      <c r="H14" s="3">
        <f>20-I14</f>
        <v/>
      </c>
      <c r="I14" s="5" t="n"/>
      <c r="J14" s="3">
        <f>IF(L14="","",I14*1.5)</f>
        <v/>
      </c>
      <c r="K14" s="3">
        <f>10-L14</f>
        <v/>
      </c>
      <c r="L14" s="5" t="n"/>
      <c r="M14" s="3">
        <f>IF(L14="","",L14*1)</f>
        <v/>
      </c>
      <c r="N14" s="3">
        <f>IF(L14="","",ROUND(((G14+J14+M14)/90)*100,1))</f>
        <v/>
      </c>
      <c r="O14" s="5" t="n"/>
      <c r="P14" s="18" t="n"/>
      <c r="Q14" s="4" t="n"/>
    </row>
    <row r="15">
      <c r="A15" s="3" t="n">
        <v>10</v>
      </c>
      <c r="B15" s="4" t="inlineStr">
        <is>
          <t>Baxromova</t>
        </is>
      </c>
      <c r="C15" s="4" t="inlineStr">
        <is>
          <t>Samira</t>
        </is>
      </c>
      <c r="D15" s="3" t="n">
        <v>9</v>
      </c>
      <c r="E15" s="3">
        <f>20-F15</f>
        <v/>
      </c>
      <c r="F15" s="5" t="n"/>
      <c r="G15" s="3">
        <f>IF(L15="","",F15*2.5)</f>
        <v/>
      </c>
      <c r="H15" s="3">
        <f>20-I15</f>
        <v/>
      </c>
      <c r="I15" s="5" t="n"/>
      <c r="J15" s="3">
        <f>IF(L15="","",I15*1.5)</f>
        <v/>
      </c>
      <c r="K15" s="3">
        <f>10-L15</f>
        <v/>
      </c>
      <c r="L15" s="5" t="n"/>
      <c r="M15" s="3">
        <f>IF(L15="","",L15*1)</f>
        <v/>
      </c>
      <c r="N15" s="3">
        <f>IF(L15="","",ROUND(((G15+J15+M15)/90)*100,1))</f>
        <v/>
      </c>
      <c r="O15" s="5" t="n"/>
      <c r="P15" s="18" t="n"/>
      <c r="Q15" s="4" t="n"/>
    </row>
    <row r="16">
      <c r="A16" s="3" t="n">
        <v>11</v>
      </c>
      <c r="B16" s="4" t="inlineStr">
        <is>
          <t>Baxtiyorov</t>
        </is>
      </c>
      <c r="C16" s="4" t="inlineStr">
        <is>
          <t>Dilshod</t>
        </is>
      </c>
      <c r="D16" s="3" t="n">
        <v>9</v>
      </c>
      <c r="E16" s="3">
        <f>20-F16</f>
        <v/>
      </c>
      <c r="F16" s="5" t="n"/>
      <c r="G16" s="3">
        <f>IF(L16="","",F16*2.5)</f>
        <v/>
      </c>
      <c r="H16" s="3">
        <f>20-I16</f>
        <v/>
      </c>
      <c r="I16" s="5" t="n"/>
      <c r="J16" s="3">
        <f>IF(L16="","",I16*1.5)</f>
        <v/>
      </c>
      <c r="K16" s="3">
        <f>10-L16</f>
        <v/>
      </c>
      <c r="L16" s="5" t="n"/>
      <c r="M16" s="3">
        <f>IF(L16="","",L16*1)</f>
        <v/>
      </c>
      <c r="N16" s="3">
        <f>IF(L16="","",ROUND(((G16+J16+M16)/90)*100,1))</f>
        <v/>
      </c>
      <c r="O16" s="5" t="n"/>
      <c r="P16" s="18" t="n"/>
      <c r="Q16" s="4" t="n"/>
    </row>
    <row r="17">
      <c r="A17" s="3" t="n">
        <v>12</v>
      </c>
      <c r="B17" s="4" t="inlineStr">
        <is>
          <t>Baxtiyorov</t>
        </is>
      </c>
      <c r="C17" s="4" t="inlineStr">
        <is>
          <t>Elbek</t>
        </is>
      </c>
      <c r="D17" s="3" t="n">
        <v>9</v>
      </c>
      <c r="E17" s="3">
        <f>20-F17</f>
        <v/>
      </c>
      <c r="F17" s="5" t="n"/>
      <c r="G17" s="3">
        <f>IF(L17="","",F17*2.5)</f>
        <v/>
      </c>
      <c r="H17" s="3">
        <f>20-I17</f>
        <v/>
      </c>
      <c r="I17" s="5" t="n"/>
      <c r="J17" s="3">
        <f>IF(L17="","",I17*1.5)</f>
        <v/>
      </c>
      <c r="K17" s="3">
        <f>10-L17</f>
        <v/>
      </c>
      <c r="L17" s="5" t="n"/>
      <c r="M17" s="3">
        <f>IF(L17="","",L17*1)</f>
        <v/>
      </c>
      <c r="N17" s="3">
        <f>IF(L17="","",ROUND(((G17+J17+M17)/90)*100,1))</f>
        <v/>
      </c>
      <c r="O17" s="5" t="n"/>
      <c r="P17" s="18" t="n"/>
      <c r="Q17" s="4" t="n"/>
    </row>
    <row r="18">
      <c r="A18" s="3" t="n">
        <v>13</v>
      </c>
      <c r="B18" s="4" t="inlineStr">
        <is>
          <t>Baxtiyorova</t>
        </is>
      </c>
      <c r="C18" s="4" t="inlineStr">
        <is>
          <t>Marvarid</t>
        </is>
      </c>
      <c r="D18" s="3" t="n">
        <v>9</v>
      </c>
      <c r="E18" s="3">
        <f>20-F18</f>
        <v/>
      </c>
      <c r="F18" s="5" t="n"/>
      <c r="G18" s="3">
        <f>IF(L18="","",F18*2.5)</f>
        <v/>
      </c>
      <c r="H18" s="3">
        <f>20-I18</f>
        <v/>
      </c>
      <c r="I18" s="5" t="n"/>
      <c r="J18" s="3">
        <f>IF(L18="","",I18*1.5)</f>
        <v/>
      </c>
      <c r="K18" s="3">
        <f>10-L18</f>
        <v/>
      </c>
      <c r="L18" s="5" t="n"/>
      <c r="M18" s="3">
        <f>IF(L18="","",L18*1)</f>
        <v/>
      </c>
      <c r="N18" s="3">
        <f>IF(L18="","",ROUND(((G18+J18+M18)/90)*100,1))</f>
        <v/>
      </c>
      <c r="O18" s="5" t="n"/>
      <c r="P18" s="18" t="n"/>
      <c r="Q18" s="4" t="n"/>
    </row>
    <row r="19">
      <c r="A19" s="3" t="n">
        <v>14</v>
      </c>
      <c r="B19" s="4" t="inlineStr">
        <is>
          <t>Fayziyev</t>
        </is>
      </c>
      <c r="C19" s="4" t="inlineStr">
        <is>
          <t>Mahammada'lo</t>
        </is>
      </c>
      <c r="D19" s="3" t="n">
        <v>9</v>
      </c>
      <c r="E19" s="3">
        <f>20-F19</f>
        <v/>
      </c>
      <c r="F19" s="5" t="n"/>
      <c r="G19" s="3">
        <f>IF(L19="","",F19*2.5)</f>
        <v/>
      </c>
      <c r="H19" s="3">
        <f>20-I19</f>
        <v/>
      </c>
      <c r="I19" s="5" t="n"/>
      <c r="J19" s="3">
        <f>IF(L19="","",I19*1.5)</f>
        <v/>
      </c>
      <c r="K19" s="3">
        <f>10-L19</f>
        <v/>
      </c>
      <c r="L19" s="5" t="n"/>
      <c r="M19" s="3">
        <f>IF(L19="","",L19*1)</f>
        <v/>
      </c>
      <c r="N19" s="3">
        <f>IF(L19="","",ROUND(((G19+J19+M19)/90)*100,1))</f>
        <v/>
      </c>
      <c r="O19" s="5" t="n"/>
      <c r="P19" s="18" t="n"/>
      <c r="Q19" s="4" t="n"/>
    </row>
    <row r="20">
      <c r="A20" s="3" t="n">
        <v>15</v>
      </c>
      <c r="B20" s="4" t="inlineStr">
        <is>
          <t>Gulomova</t>
        </is>
      </c>
      <c r="C20" s="4" t="inlineStr">
        <is>
          <t>Zahroxon</t>
        </is>
      </c>
      <c r="D20" s="3" t="n">
        <v>9</v>
      </c>
      <c r="E20" s="3">
        <f>20-F20</f>
        <v/>
      </c>
      <c r="F20" s="5" t="n"/>
      <c r="G20" s="3">
        <f>IF(L20="","",F20*2.5)</f>
        <v/>
      </c>
      <c r="H20" s="3">
        <f>20-I20</f>
        <v/>
      </c>
      <c r="I20" s="5" t="n"/>
      <c r="J20" s="3">
        <f>IF(L20="","",I20*1.5)</f>
        <v/>
      </c>
      <c r="K20" s="3">
        <f>10-L20</f>
        <v/>
      </c>
      <c r="L20" s="5" t="n"/>
      <c r="M20" s="3">
        <f>IF(L20="","",L20*1)</f>
        <v/>
      </c>
      <c r="N20" s="3">
        <f>IF(L20="","",ROUND(((G20+J20+M20)/90)*100,1))</f>
        <v/>
      </c>
      <c r="O20" s="5" t="n"/>
      <c r="P20" s="18" t="n"/>
      <c r="Q20" s="4" t="n"/>
    </row>
    <row r="21">
      <c r="A21" s="3" t="n">
        <v>16</v>
      </c>
      <c r="B21" s="4" t="inlineStr">
        <is>
          <t>Hikmatillayev</t>
        </is>
      </c>
      <c r="C21" s="4" t="inlineStr">
        <is>
          <t>Asadbek</t>
        </is>
      </c>
      <c r="D21" s="3" t="n">
        <v>9</v>
      </c>
      <c r="E21" s="3">
        <f>20-F21</f>
        <v/>
      </c>
      <c r="F21" s="5" t="n"/>
      <c r="G21" s="3">
        <f>IF(L21="","",F21*2.5)</f>
        <v/>
      </c>
      <c r="H21" s="3">
        <f>20-I21</f>
        <v/>
      </c>
      <c r="I21" s="5" t="n"/>
      <c r="J21" s="3">
        <f>IF(L21="","",I21*1.5)</f>
        <v/>
      </c>
      <c r="K21" s="3">
        <f>10-L21</f>
        <v/>
      </c>
      <c r="L21" s="5" t="n"/>
      <c r="M21" s="3">
        <f>IF(L21="","",L21*1)</f>
        <v/>
      </c>
      <c r="N21" s="3">
        <f>IF(L21="","",ROUND(((G21+J21+M21)/90)*100,1))</f>
        <v/>
      </c>
      <c r="O21" s="5" t="n"/>
      <c r="P21" s="18" t="n"/>
      <c r="Q21" s="4" t="n"/>
    </row>
    <row r="22">
      <c r="A22" s="3" t="n">
        <v>17</v>
      </c>
      <c r="B22" s="4" t="inlineStr">
        <is>
          <t>Ikramof</t>
        </is>
      </c>
      <c r="C22" s="4" t="inlineStr">
        <is>
          <t>Azizbek</t>
        </is>
      </c>
      <c r="D22" s="3" t="n">
        <v>9</v>
      </c>
      <c r="E22" s="3">
        <f>20-F22</f>
        <v/>
      </c>
      <c r="F22" s="5" t="n"/>
      <c r="G22" s="3">
        <f>IF(L22="","",F22*2.5)</f>
        <v/>
      </c>
      <c r="H22" s="3">
        <f>20-I22</f>
        <v/>
      </c>
      <c r="I22" s="5" t="n"/>
      <c r="J22" s="3">
        <f>IF(L22="","",I22*1.5)</f>
        <v/>
      </c>
      <c r="K22" s="3">
        <f>10-L22</f>
        <v/>
      </c>
      <c r="L22" s="5" t="n"/>
      <c r="M22" s="3">
        <f>IF(L22="","",L22*1)</f>
        <v/>
      </c>
      <c r="N22" s="3">
        <f>IF(L22="","",ROUND(((G22+J22+M22)/90)*100,1))</f>
        <v/>
      </c>
      <c r="O22" s="5" t="n"/>
      <c r="P22" s="18" t="n"/>
      <c r="Q22" s="4" t="n"/>
    </row>
    <row r="23">
      <c r="A23" s="3" t="n">
        <v>18</v>
      </c>
      <c r="B23" s="4" t="inlineStr">
        <is>
          <t>Ilyamova</t>
        </is>
      </c>
      <c r="C23" s="4" t="inlineStr">
        <is>
          <t>Zaynab</t>
        </is>
      </c>
      <c r="D23" s="3" t="n">
        <v>9</v>
      </c>
      <c r="E23" s="3">
        <f>20-F23</f>
        <v/>
      </c>
      <c r="F23" s="5" t="n"/>
      <c r="G23" s="3">
        <f>IF(L23="","",F23*2.5)</f>
        <v/>
      </c>
      <c r="H23" s="3">
        <f>20-I23</f>
        <v/>
      </c>
      <c r="I23" s="5" t="n"/>
      <c r="J23" s="3">
        <f>IF(L23="","",I23*1.5)</f>
        <v/>
      </c>
      <c r="K23" s="3">
        <f>10-L23</f>
        <v/>
      </c>
      <c r="L23" s="5" t="n"/>
      <c r="M23" s="3">
        <f>IF(L23="","",L23*1)</f>
        <v/>
      </c>
      <c r="N23" s="3">
        <f>IF(L23="","",ROUND(((G23+J23+M23)/90)*100,1))</f>
        <v/>
      </c>
      <c r="O23" s="5" t="n"/>
      <c r="P23" s="18" t="n"/>
      <c r="Q23" s="4" t="n"/>
    </row>
    <row r="24">
      <c r="A24" s="3" t="n">
        <v>19</v>
      </c>
      <c r="B24" s="4" t="inlineStr">
        <is>
          <t>Maksumov</t>
        </is>
      </c>
      <c r="C24" s="4" t="inlineStr">
        <is>
          <t>Anvar</t>
        </is>
      </c>
      <c r="D24" s="3" t="n">
        <v>9</v>
      </c>
      <c r="E24" s="3">
        <f>20-F24</f>
        <v/>
      </c>
      <c r="F24" s="5" t="n"/>
      <c r="G24" s="3">
        <f>IF(L24="","",F24*2.5)</f>
        <v/>
      </c>
      <c r="H24" s="3">
        <f>20-I24</f>
        <v/>
      </c>
      <c r="I24" s="5" t="n"/>
      <c r="J24" s="3">
        <f>IF(L24="","",I24*1.5)</f>
        <v/>
      </c>
      <c r="K24" s="3">
        <f>10-L24</f>
        <v/>
      </c>
      <c r="L24" s="5" t="n"/>
      <c r="M24" s="3">
        <f>IF(L24="","",L24*1)</f>
        <v/>
      </c>
      <c r="N24" s="3">
        <f>IF(L24="","",ROUND(((G24+J24+M24)/90)*100,1))</f>
        <v/>
      </c>
      <c r="O24" s="5" t="n"/>
      <c r="P24" s="18" t="n"/>
      <c r="Q24" s="4" t="n"/>
    </row>
    <row r="25">
      <c r="A25" s="3" t="n">
        <v>20</v>
      </c>
      <c r="B25" s="4" t="inlineStr">
        <is>
          <t>Malikov</t>
        </is>
      </c>
      <c r="C25" s="4" t="inlineStr">
        <is>
          <t>Amir</t>
        </is>
      </c>
      <c r="D25" s="3" t="n">
        <v>9</v>
      </c>
      <c r="E25" s="3">
        <f>20-F25</f>
        <v/>
      </c>
      <c r="F25" s="5" t="n"/>
      <c r="G25" s="3">
        <f>IF(L25="","",F25*2.5)</f>
        <v/>
      </c>
      <c r="H25" s="3">
        <f>20-I25</f>
        <v/>
      </c>
      <c r="I25" s="5" t="n"/>
      <c r="J25" s="3">
        <f>IF(L25="","",I25*1.5)</f>
        <v/>
      </c>
      <c r="K25" s="3">
        <f>10-L25</f>
        <v/>
      </c>
      <c r="L25" s="5" t="n"/>
      <c r="M25" s="3">
        <f>IF(L25="","",L25*1)</f>
        <v/>
      </c>
      <c r="N25" s="3">
        <f>IF(L25="","",ROUND(((G25+J25+M25)/90)*100,1))</f>
        <v/>
      </c>
      <c r="O25" s="5" t="n"/>
      <c r="P25" s="18" t="n"/>
      <c r="Q25" s="4" t="n"/>
    </row>
    <row r="26">
      <c r="A26" s="3" t="n">
        <v>21</v>
      </c>
      <c r="B26" s="4" t="inlineStr">
        <is>
          <t>Mamadaliyeva</t>
        </is>
      </c>
      <c r="C26" s="4" t="inlineStr">
        <is>
          <t>Madina Maqsudali qizi</t>
        </is>
      </c>
      <c r="D26" s="3" t="n">
        <v>9</v>
      </c>
      <c r="E26" s="3">
        <f>20-F26</f>
        <v/>
      </c>
      <c r="F26" s="5" t="n"/>
      <c r="G26" s="3">
        <f>IF(L26="","",F26*2.5)</f>
        <v/>
      </c>
      <c r="H26" s="3">
        <f>20-I26</f>
        <v/>
      </c>
      <c r="I26" s="5" t="n"/>
      <c r="J26" s="3">
        <f>IF(L26="","",I26*1.5)</f>
        <v/>
      </c>
      <c r="K26" s="3">
        <f>10-L26</f>
        <v/>
      </c>
      <c r="L26" s="5" t="n"/>
      <c r="M26" s="3">
        <f>IF(L26="","",L26*1)</f>
        <v/>
      </c>
      <c r="N26" s="3">
        <f>IF(L26="","",ROUND(((G26+J26+M26)/90)*100,1))</f>
        <v/>
      </c>
      <c r="O26" s="5" t="n"/>
      <c r="P26" s="18" t="n"/>
      <c r="Q26" s="4" t="n"/>
    </row>
    <row r="27">
      <c r="A27" s="3" t="n">
        <v>22</v>
      </c>
      <c r="B27" s="4" t="inlineStr">
        <is>
          <t>Margulonova</t>
        </is>
      </c>
      <c r="C27" s="4" t="inlineStr">
        <is>
          <t>Feruza</t>
        </is>
      </c>
      <c r="D27" s="3" t="n">
        <v>9</v>
      </c>
      <c r="E27" s="3">
        <f>20-F27</f>
        <v/>
      </c>
      <c r="F27" s="5" t="n"/>
      <c r="G27" s="3">
        <f>IF(L27="","",F27*2.5)</f>
        <v/>
      </c>
      <c r="H27" s="3">
        <f>20-I27</f>
        <v/>
      </c>
      <c r="I27" s="5" t="n"/>
      <c r="J27" s="3">
        <f>IF(L27="","",I27*1.5)</f>
        <v/>
      </c>
      <c r="K27" s="3">
        <f>10-L27</f>
        <v/>
      </c>
      <c r="L27" s="5" t="n"/>
      <c r="M27" s="3">
        <f>IF(L27="","",L27*1)</f>
        <v/>
      </c>
      <c r="N27" s="3">
        <f>IF(L27="","",ROUND(((G27+J27+M27)/90)*100,1))</f>
        <v/>
      </c>
      <c r="O27" s="5" t="n"/>
      <c r="P27" s="18" t="n"/>
      <c r="Q27" s="4" t="n"/>
    </row>
    <row r="28">
      <c r="A28" s="3" t="n">
        <v>23</v>
      </c>
      <c r="B28" s="4" t="inlineStr">
        <is>
          <t>Mirjalolov</t>
        </is>
      </c>
      <c r="C28" s="4" t="inlineStr">
        <is>
          <t>Mirmaxsud</t>
        </is>
      </c>
      <c r="D28" s="3" t="n">
        <v>9</v>
      </c>
      <c r="E28" s="3">
        <f>20-F28</f>
        <v/>
      </c>
      <c r="F28" s="5" t="n"/>
      <c r="G28" s="3">
        <f>IF(L28="","",F28*2.5)</f>
        <v/>
      </c>
      <c r="H28" s="3">
        <f>20-I28</f>
        <v/>
      </c>
      <c r="I28" s="5" t="n"/>
      <c r="J28" s="3">
        <f>IF(L28="","",I28*1.5)</f>
        <v/>
      </c>
      <c r="K28" s="3">
        <f>10-L28</f>
        <v/>
      </c>
      <c r="L28" s="5" t="n"/>
      <c r="M28" s="3">
        <f>IF(L28="","",L28*1)</f>
        <v/>
      </c>
      <c r="N28" s="3">
        <f>IF(L28="","",ROUND(((G28+J28+M28)/90)*100,1))</f>
        <v/>
      </c>
      <c r="O28" s="5" t="n"/>
      <c r="P28" s="18" t="n"/>
      <c r="Q28" s="4" t="n"/>
    </row>
    <row r="29">
      <c r="A29" s="3" t="n">
        <v>24</v>
      </c>
      <c r="B29" s="4" t="inlineStr">
        <is>
          <t>Muxammedxodjaev</t>
        </is>
      </c>
      <c r="C29" s="4" t="inlineStr">
        <is>
          <t>Saidaxmadxon</t>
        </is>
      </c>
      <c r="D29" s="3" t="n">
        <v>9</v>
      </c>
      <c r="E29" s="3">
        <f>20-F29</f>
        <v/>
      </c>
      <c r="F29" s="5" t="n"/>
      <c r="G29" s="3">
        <f>IF(L29="","",F29*2.5)</f>
        <v/>
      </c>
      <c r="H29" s="3">
        <f>20-I29</f>
        <v/>
      </c>
      <c r="I29" s="5" t="n"/>
      <c r="J29" s="3">
        <f>IF(L29="","",I29*1.5)</f>
        <v/>
      </c>
      <c r="K29" s="3">
        <f>10-L29</f>
        <v/>
      </c>
      <c r="L29" s="5" t="n"/>
      <c r="M29" s="3">
        <f>IF(L29="","",L29*1)</f>
        <v/>
      </c>
      <c r="N29" s="3">
        <f>IF(L29="","",ROUND(((G29+J29+M29)/90)*100,1))</f>
        <v/>
      </c>
      <c r="O29" s="5" t="n"/>
      <c r="P29" s="18" t="n"/>
      <c r="Q29" s="4" t="n"/>
    </row>
    <row r="30">
      <c r="A30" s="3" t="n">
        <v>25</v>
      </c>
      <c r="B30" s="4" t="inlineStr">
        <is>
          <t>Narimbayeva</t>
        </is>
      </c>
      <c r="C30" s="4" t="inlineStr">
        <is>
          <t>Madina</t>
        </is>
      </c>
      <c r="D30" s="3" t="n">
        <v>9</v>
      </c>
      <c r="E30" s="3">
        <f>20-F30</f>
        <v/>
      </c>
      <c r="F30" s="5" t="n"/>
      <c r="G30" s="3">
        <f>IF(L30="","",F30*2.5)</f>
        <v/>
      </c>
      <c r="H30" s="3">
        <f>20-I30</f>
        <v/>
      </c>
      <c r="I30" s="5" t="n"/>
      <c r="J30" s="3">
        <f>IF(L30="","",I30*1.5)</f>
        <v/>
      </c>
      <c r="K30" s="3">
        <f>10-L30</f>
        <v/>
      </c>
      <c r="L30" s="5" t="n"/>
      <c r="M30" s="3">
        <f>IF(L30="","",L30*1)</f>
        <v/>
      </c>
      <c r="N30" s="3">
        <f>IF(L30="","",ROUND(((G30+J30+M30)/90)*100,1))</f>
        <v/>
      </c>
      <c r="O30" s="5" t="n"/>
      <c r="P30" s="18" t="n"/>
      <c r="Q30" s="4" t="n"/>
    </row>
    <row r="31">
      <c r="A31" s="3" t="n">
        <v>26</v>
      </c>
      <c r="B31" s="4" t="inlineStr">
        <is>
          <t>Nazarovga</t>
        </is>
      </c>
      <c r="C31" s="4" t="inlineStr">
        <is>
          <t>Mumtozbegim</t>
        </is>
      </c>
      <c r="D31" s="3" t="n">
        <v>9</v>
      </c>
      <c r="E31" s="3">
        <f>20-F31</f>
        <v/>
      </c>
      <c r="F31" s="5" t="n"/>
      <c r="G31" s="3">
        <f>IF(L31="","",F31*2.5)</f>
        <v/>
      </c>
      <c r="H31" s="3">
        <f>20-I31</f>
        <v/>
      </c>
      <c r="I31" s="5" t="n"/>
      <c r="J31" s="3">
        <f>IF(L31="","",I31*1.5)</f>
        <v/>
      </c>
      <c r="K31" s="3">
        <f>10-L31</f>
        <v/>
      </c>
      <c r="L31" s="5" t="n"/>
      <c r="M31" s="3">
        <f>IF(L31="","",L31*1)</f>
        <v/>
      </c>
      <c r="N31" s="3">
        <f>IF(L31="","",ROUND(((G31+J31+M31)/90)*100,1))</f>
        <v/>
      </c>
      <c r="O31" s="5" t="n"/>
      <c r="P31" s="18" t="n"/>
      <c r="Q31" s="4" t="n"/>
    </row>
    <row r="32">
      <c r="A32" s="3" t="n">
        <v>27</v>
      </c>
      <c r="B32" s="4" t="inlineStr">
        <is>
          <t>Qudratullayev</t>
        </is>
      </c>
      <c r="C32" s="4" t="inlineStr">
        <is>
          <t>Saidumar</t>
        </is>
      </c>
      <c r="D32" s="3" t="n">
        <v>9</v>
      </c>
      <c r="E32" s="3">
        <f>20-F32</f>
        <v/>
      </c>
      <c r="F32" s="5" t="n"/>
      <c r="G32" s="3">
        <f>IF(L32="","",F32*2.5)</f>
        <v/>
      </c>
      <c r="H32" s="3">
        <f>20-I32</f>
        <v/>
      </c>
      <c r="I32" s="5" t="n"/>
      <c r="J32" s="3">
        <f>IF(L32="","",I32*1.5)</f>
        <v/>
      </c>
      <c r="K32" s="3">
        <f>10-L32</f>
        <v/>
      </c>
      <c r="L32" s="5" t="n"/>
      <c r="M32" s="3">
        <f>IF(L32="","",L32*1)</f>
        <v/>
      </c>
      <c r="N32" s="3">
        <f>IF(L32="","",ROUND(((G32+J32+M32)/90)*100,1))</f>
        <v/>
      </c>
      <c r="O32" s="5" t="n"/>
      <c r="P32" s="18" t="n"/>
      <c r="Q32" s="4" t="n"/>
    </row>
    <row r="33">
      <c r="A33" s="3" t="n">
        <v>28</v>
      </c>
      <c r="B33" s="4" t="inlineStr">
        <is>
          <t>Rixsiddinova</t>
        </is>
      </c>
      <c r="C33" s="4" t="inlineStr">
        <is>
          <t>Dilafruz</t>
        </is>
      </c>
      <c r="D33" s="3" t="n">
        <v>9</v>
      </c>
      <c r="E33" s="3">
        <f>20-F33</f>
        <v/>
      </c>
      <c r="F33" s="5" t="n"/>
      <c r="G33" s="3">
        <f>IF(L33="","",F33*2.5)</f>
        <v/>
      </c>
      <c r="H33" s="3">
        <f>20-I33</f>
        <v/>
      </c>
      <c r="I33" s="5" t="n"/>
      <c r="J33" s="3">
        <f>IF(L33="","",I33*1.5)</f>
        <v/>
      </c>
      <c r="K33" s="3">
        <f>10-L33</f>
        <v/>
      </c>
      <c r="L33" s="5" t="n"/>
      <c r="M33" s="3">
        <f>IF(L33="","",L33*1)</f>
        <v/>
      </c>
      <c r="N33" s="3">
        <f>IF(L33="","",ROUND(((G33+J33+M33)/90)*100,1))</f>
        <v/>
      </c>
      <c r="O33" s="5" t="n"/>
      <c r="P33" s="18" t="n"/>
      <c r="Q33" s="4" t="n"/>
    </row>
    <row r="34">
      <c r="A34" s="3" t="n">
        <v>29</v>
      </c>
      <c r="B34" s="4" t="inlineStr">
        <is>
          <t>Saloxiddinov</t>
        </is>
      </c>
      <c r="C34" s="4" t="inlineStr">
        <is>
          <t>Azizbek</t>
        </is>
      </c>
      <c r="D34" s="3" t="n">
        <v>9</v>
      </c>
      <c r="E34" s="3">
        <f>20-F34</f>
        <v/>
      </c>
      <c r="F34" s="5" t="n"/>
      <c r="G34" s="3">
        <f>IF(L34="","",F34*2.5)</f>
        <v/>
      </c>
      <c r="H34" s="3">
        <f>20-I34</f>
        <v/>
      </c>
      <c r="I34" s="5" t="n"/>
      <c r="J34" s="3">
        <f>IF(L34="","",I34*1.5)</f>
        <v/>
      </c>
      <c r="K34" s="3">
        <f>10-L34</f>
        <v/>
      </c>
      <c r="L34" s="5" t="n"/>
      <c r="M34" s="3">
        <f>IF(L34="","",L34*1)</f>
        <v/>
      </c>
      <c r="N34" s="3">
        <f>IF(L34="","",ROUND(((G34+J34+M34)/90)*100,1))</f>
        <v/>
      </c>
      <c r="O34" s="5" t="n"/>
      <c r="P34" s="18" t="n"/>
      <c r="Q34" s="4" t="n"/>
    </row>
    <row r="35">
      <c r="A35" s="3" t="n">
        <v>30</v>
      </c>
      <c r="B35" s="4" t="inlineStr">
        <is>
          <t>Sanjarova</t>
        </is>
      </c>
      <c r="C35" s="4" t="inlineStr">
        <is>
          <t>Zieda</t>
        </is>
      </c>
      <c r="D35" s="3" t="n">
        <v>9</v>
      </c>
      <c r="E35" s="3">
        <f>20-F35</f>
        <v/>
      </c>
      <c r="F35" s="5" t="n"/>
      <c r="G35" s="3">
        <f>IF(L35="","",F35*2.5)</f>
        <v/>
      </c>
      <c r="H35" s="3">
        <f>20-I35</f>
        <v/>
      </c>
      <c r="I35" s="5" t="n"/>
      <c r="J35" s="3">
        <f>IF(L35="","",I35*1.5)</f>
        <v/>
      </c>
      <c r="K35" s="3">
        <f>10-L35</f>
        <v/>
      </c>
      <c r="L35" s="5" t="n"/>
      <c r="M35" s="3">
        <f>IF(L35="","",L35*1)</f>
        <v/>
      </c>
      <c r="N35" s="3">
        <f>IF(L35="","",ROUND(((G35+J35+M35)/90)*100,1))</f>
        <v/>
      </c>
      <c r="O35" s="5" t="n"/>
      <c r="P35" s="18" t="n"/>
      <c r="Q35" s="4" t="n"/>
    </row>
    <row r="36">
      <c r="A36" s="3" t="n">
        <v>31</v>
      </c>
      <c r="B36" s="4" t="inlineStr">
        <is>
          <t>Saparboev</t>
        </is>
      </c>
      <c r="C36" s="4" t="inlineStr">
        <is>
          <t>Asilbek</t>
        </is>
      </c>
      <c r="D36" s="3" t="n">
        <v>9</v>
      </c>
      <c r="E36" s="3">
        <f>20-F36</f>
        <v/>
      </c>
      <c r="F36" s="5" t="n"/>
      <c r="G36" s="3">
        <f>IF(L36="","",F36*2.5)</f>
        <v/>
      </c>
      <c r="H36" s="3">
        <f>20-I36</f>
        <v/>
      </c>
      <c r="I36" s="5" t="n"/>
      <c r="J36" s="3">
        <f>IF(L36="","",I36*1.5)</f>
        <v/>
      </c>
      <c r="K36" s="3">
        <f>10-L36</f>
        <v/>
      </c>
      <c r="L36" s="5" t="n"/>
      <c r="M36" s="3">
        <f>IF(L36="","",L36*1)</f>
        <v/>
      </c>
      <c r="N36" s="3">
        <f>IF(L36="","",ROUND(((G36+J36+M36)/90)*100,1))</f>
        <v/>
      </c>
      <c r="O36" s="5" t="n"/>
      <c r="P36" s="18" t="n"/>
      <c r="Q36" s="4" t="n"/>
    </row>
    <row r="37">
      <c r="A37" s="3" t="n">
        <v>32</v>
      </c>
      <c r="B37" s="4" t="inlineStr">
        <is>
          <t>Sobirov</t>
        </is>
      </c>
      <c r="C37" s="4" t="inlineStr">
        <is>
          <t>Kamronbek</t>
        </is>
      </c>
      <c r="D37" s="3" t="n">
        <v>9</v>
      </c>
      <c r="E37" s="3">
        <f>20-F37</f>
        <v/>
      </c>
      <c r="F37" s="5" t="n"/>
      <c r="G37" s="3">
        <f>IF(L37="","",F37*2.5)</f>
        <v/>
      </c>
      <c r="H37" s="3">
        <f>20-I37</f>
        <v/>
      </c>
      <c r="I37" s="5" t="n"/>
      <c r="J37" s="3">
        <f>IF(L37="","",I37*1.5)</f>
        <v/>
      </c>
      <c r="K37" s="3">
        <f>10-L37</f>
        <v/>
      </c>
      <c r="L37" s="5" t="n"/>
      <c r="M37" s="3">
        <f>IF(L37="","",L37*1)</f>
        <v/>
      </c>
      <c r="N37" s="3">
        <f>IF(L37="","",ROUND(((G37+J37+M37)/90)*100,1))</f>
        <v/>
      </c>
      <c r="O37" s="5" t="n"/>
      <c r="P37" s="18" t="n"/>
      <c r="Q37" s="4" t="n"/>
    </row>
    <row r="38">
      <c r="A38" s="3" t="n">
        <v>33</v>
      </c>
      <c r="B38" s="4" t="inlineStr">
        <is>
          <t>Sodikov</t>
        </is>
      </c>
      <c r="C38" s="4" t="inlineStr">
        <is>
          <t>Ulugbek Beshimovich</t>
        </is>
      </c>
      <c r="D38" s="3" t="n">
        <v>9</v>
      </c>
      <c r="E38" s="3">
        <f>20-F38</f>
        <v/>
      </c>
      <c r="F38" s="5" t="n"/>
      <c r="G38" s="3">
        <f>IF(L38="","",F38*2.5)</f>
        <v/>
      </c>
      <c r="H38" s="3">
        <f>20-I38</f>
        <v/>
      </c>
      <c r="I38" s="5" t="n"/>
      <c r="J38" s="3">
        <f>IF(L38="","",I38*1.5)</f>
        <v/>
      </c>
      <c r="K38" s="3">
        <f>10-L38</f>
        <v/>
      </c>
      <c r="L38" s="5" t="n"/>
      <c r="M38" s="3">
        <f>IF(L38="","",L38*1)</f>
        <v/>
      </c>
      <c r="N38" s="3">
        <f>IF(L38="","",ROUND(((G38+J38+M38)/90)*100,1))</f>
        <v/>
      </c>
      <c r="O38" s="5" t="n"/>
      <c r="P38" s="18" t="n"/>
      <c r="Q38" s="4" t="n"/>
    </row>
    <row r="39">
      <c r="A39" s="3" t="n">
        <v>34</v>
      </c>
      <c r="B39" s="4" t="inlineStr">
        <is>
          <t>Toshmurodova</t>
        </is>
      </c>
      <c r="C39" s="4" t="inlineStr">
        <is>
          <t>Parizoda</t>
        </is>
      </c>
      <c r="D39" s="3" t="n">
        <v>9</v>
      </c>
      <c r="E39" s="3">
        <f>20-F39</f>
        <v/>
      </c>
      <c r="F39" s="5" t="n"/>
      <c r="G39" s="3">
        <f>IF(L39="","",F39*2.5)</f>
        <v/>
      </c>
      <c r="H39" s="3">
        <f>20-I39</f>
        <v/>
      </c>
      <c r="I39" s="5" t="n"/>
      <c r="J39" s="3">
        <f>IF(L39="","",I39*1.5)</f>
        <v/>
      </c>
      <c r="K39" s="3">
        <f>10-L39</f>
        <v/>
      </c>
      <c r="L39" s="5" t="n"/>
      <c r="M39" s="3">
        <f>IF(L39="","",L39*1)</f>
        <v/>
      </c>
      <c r="N39" s="3">
        <f>IF(L39="","",ROUND(((G39+J39+M39)/90)*100,1))</f>
        <v/>
      </c>
      <c r="O39" s="5" t="n"/>
      <c r="P39" s="18" t="n"/>
      <c r="Q39" s="4" t="n"/>
    </row>
    <row r="40">
      <c r="A40" s="3" t="n">
        <v>35</v>
      </c>
      <c r="B40" s="4" t="inlineStr">
        <is>
          <t>Turobov</t>
        </is>
      </c>
      <c r="C40" s="4" t="inlineStr">
        <is>
          <t>Umar</t>
        </is>
      </c>
      <c r="D40" s="3" t="n">
        <v>9</v>
      </c>
      <c r="E40" s="3">
        <f>20-F40</f>
        <v/>
      </c>
      <c r="F40" s="5" t="n"/>
      <c r="G40" s="3">
        <f>IF(L40="","",F40*2.5)</f>
        <v/>
      </c>
      <c r="H40" s="3">
        <f>20-I40</f>
        <v/>
      </c>
      <c r="I40" s="5" t="n"/>
      <c r="J40" s="3">
        <f>IF(L40="","",I40*1.5)</f>
        <v/>
      </c>
      <c r="K40" s="3">
        <f>10-L40</f>
        <v/>
      </c>
      <c r="L40" s="5" t="n"/>
      <c r="M40" s="3">
        <f>IF(L40="","",L40*1)</f>
        <v/>
      </c>
      <c r="N40" s="3">
        <f>IF(L40="","",ROUND(((G40+J40+M40)/90)*100,1))</f>
        <v/>
      </c>
      <c r="O40" s="5" t="n"/>
      <c r="P40" s="18" t="n"/>
      <c r="Q40" s="4" t="n"/>
    </row>
    <row r="41">
      <c r="A41" s="3" t="n">
        <v>36</v>
      </c>
      <c r="B41" s="4" t="inlineStr">
        <is>
          <t>Xamroev</t>
        </is>
      </c>
      <c r="C41" s="4" t="inlineStr">
        <is>
          <t>Samir</t>
        </is>
      </c>
      <c r="D41" s="3" t="n">
        <v>9</v>
      </c>
      <c r="E41" s="3">
        <f>20-F41</f>
        <v/>
      </c>
      <c r="F41" s="5" t="n"/>
      <c r="G41" s="3">
        <f>IF(L41="","",F41*2.5)</f>
        <v/>
      </c>
      <c r="H41" s="3">
        <f>20-I41</f>
        <v/>
      </c>
      <c r="I41" s="5" t="n"/>
      <c r="J41" s="3">
        <f>IF(L41="","",I41*1.5)</f>
        <v/>
      </c>
      <c r="K41" s="3">
        <f>10-L41</f>
        <v/>
      </c>
      <c r="L41" s="5" t="n"/>
      <c r="M41" s="3">
        <f>IF(L41="","",L41*1)</f>
        <v/>
      </c>
      <c r="N41" s="3">
        <f>IF(L41="","",ROUND(((G41+J41+M41)/90)*100,1))</f>
        <v/>
      </c>
      <c r="O41" s="5" t="n"/>
      <c r="P41" s="18" t="n"/>
      <c r="Q41" s="4" t="n"/>
    </row>
    <row r="42">
      <c r="A42" s="3" t="n">
        <v>37</v>
      </c>
      <c r="B42" s="4" t="inlineStr">
        <is>
          <t>Xayitov</t>
        </is>
      </c>
      <c r="C42" s="4" t="inlineStr">
        <is>
          <t>Shohdiyor</t>
        </is>
      </c>
      <c r="D42" s="3" t="n">
        <v>9</v>
      </c>
      <c r="E42" s="3">
        <f>20-F42</f>
        <v/>
      </c>
      <c r="F42" s="5" t="n"/>
      <c r="G42" s="3">
        <f>IF(L42="","",F42*2.5)</f>
        <v/>
      </c>
      <c r="H42" s="3">
        <f>20-I42</f>
        <v/>
      </c>
      <c r="I42" s="5" t="n"/>
      <c r="J42" s="3">
        <f>IF(L42="","",I42*1.5)</f>
        <v/>
      </c>
      <c r="K42" s="3">
        <f>10-L42</f>
        <v/>
      </c>
      <c r="L42" s="5" t="n"/>
      <c r="M42" s="3">
        <f>IF(L42="","",L42*1)</f>
        <v/>
      </c>
      <c r="N42" s="3">
        <f>IF(L42="","",ROUND(((G42+J42+M42)/90)*100,1))</f>
        <v/>
      </c>
      <c r="O42" s="5" t="n"/>
      <c r="P42" s="18" t="n"/>
      <c r="Q42" s="4" t="n"/>
    </row>
    <row r="43">
      <c r="A43" s="3" t="n">
        <v>38</v>
      </c>
      <c r="B43" s="4" t="inlineStr">
        <is>
          <t>Xudoyberdiyeva</t>
        </is>
      </c>
      <c r="C43" s="4" t="inlineStr">
        <is>
          <t>Rafika</t>
        </is>
      </c>
      <c r="D43" s="3" t="n">
        <v>9</v>
      </c>
      <c r="E43" s="3">
        <f>20-F43</f>
        <v/>
      </c>
      <c r="F43" s="5" t="n"/>
      <c r="G43" s="3">
        <f>IF(L43="","",F43*2.5)</f>
        <v/>
      </c>
      <c r="H43" s="3">
        <f>20-I43</f>
        <v/>
      </c>
      <c r="I43" s="5" t="n"/>
      <c r="J43" s="3">
        <f>IF(L43="","",I43*1.5)</f>
        <v/>
      </c>
      <c r="K43" s="3">
        <f>10-L43</f>
        <v/>
      </c>
      <c r="L43" s="5" t="n"/>
      <c r="M43" s="3">
        <f>IF(L43="","",L43*1)</f>
        <v/>
      </c>
      <c r="N43" s="3">
        <f>IF(L43="","",ROUND(((G43+J43+M43)/90)*100,1))</f>
        <v/>
      </c>
      <c r="O43" s="5" t="n"/>
      <c r="P43" s="18" t="n"/>
      <c r="Q43" s="4" t="n"/>
    </row>
    <row r="44">
      <c r="A44" s="3" t="n">
        <v>39</v>
      </c>
      <c r="B44" s="4" t="inlineStr">
        <is>
          <t>Yashnaboev</t>
        </is>
      </c>
      <c r="C44" s="4" t="inlineStr">
        <is>
          <t>Islom</t>
        </is>
      </c>
      <c r="D44" s="3" t="n">
        <v>9</v>
      </c>
      <c r="E44" s="3">
        <f>20-F44</f>
        <v/>
      </c>
      <c r="F44" s="5" t="n"/>
      <c r="G44" s="3">
        <f>IF(L44="","",F44*2.5)</f>
        <v/>
      </c>
      <c r="H44" s="3">
        <f>20-I44</f>
        <v/>
      </c>
      <c r="I44" s="5" t="n"/>
      <c r="J44" s="3">
        <f>IF(L44="","",I44*1.5)</f>
        <v/>
      </c>
      <c r="K44" s="3">
        <f>10-L44</f>
        <v/>
      </c>
      <c r="L44" s="5" t="n"/>
      <c r="M44" s="3">
        <f>IF(L44="","",L44*1)</f>
        <v/>
      </c>
      <c r="N44" s="3">
        <f>IF(L44="","",ROUND(((G44+J44+M44)/90)*100,1))</f>
        <v/>
      </c>
      <c r="O44" s="5" t="n"/>
      <c r="P44" s="18" t="n"/>
      <c r="Q44" s="4" t="n"/>
    </row>
    <row r="45">
      <c r="A45" s="3" t="n">
        <v>40</v>
      </c>
      <c r="B45" s="4" t="inlineStr">
        <is>
          <t>Yoqubjonov</t>
        </is>
      </c>
      <c r="C45" s="4" t="inlineStr">
        <is>
          <t>Javohir</t>
        </is>
      </c>
      <c r="D45" s="3" t="n">
        <v>9</v>
      </c>
      <c r="E45" s="3">
        <f>20-F45</f>
        <v/>
      </c>
      <c r="F45" s="5" t="n"/>
      <c r="G45" s="3">
        <f>IF(L45="","",F45*2.5)</f>
        <v/>
      </c>
      <c r="H45" s="3">
        <f>20-I45</f>
        <v/>
      </c>
      <c r="I45" s="5" t="n"/>
      <c r="J45" s="3">
        <f>IF(L45="","",I45*1.5)</f>
        <v/>
      </c>
      <c r="K45" s="3">
        <f>10-L45</f>
        <v/>
      </c>
      <c r="L45" s="5" t="n"/>
      <c r="M45" s="3">
        <f>IF(L45="","",L45*1)</f>
        <v/>
      </c>
      <c r="N45" s="3">
        <f>IF(L45="","",ROUND(((G45+J45+M45)/90)*100,1))</f>
        <v/>
      </c>
      <c r="O45" s="5" t="n"/>
      <c r="P45" s="18" t="n"/>
      <c r="Q45" s="4" t="n"/>
    </row>
    <row r="46">
      <c r="A46" s="3" t="n">
        <v>41</v>
      </c>
      <c r="B46" s="4" t="inlineStr">
        <is>
          <t>Zoirova</t>
        </is>
      </c>
      <c r="C46" s="4" t="inlineStr">
        <is>
          <t>Robiya</t>
        </is>
      </c>
      <c r="D46" s="3" t="n">
        <v>9</v>
      </c>
      <c r="E46" s="3">
        <f>20-F46</f>
        <v/>
      </c>
      <c r="F46" s="5" t="n"/>
      <c r="G46" s="3">
        <f>IF(L46="","",F46*2.5)</f>
        <v/>
      </c>
      <c r="H46" s="3">
        <f>20-I46</f>
        <v/>
      </c>
      <c r="I46" s="5" t="n"/>
      <c r="J46" s="3">
        <f>IF(L46="","",I46*1.5)</f>
        <v/>
      </c>
      <c r="K46" s="3">
        <f>10-L46</f>
        <v/>
      </c>
      <c r="L46" s="5" t="n"/>
      <c r="M46" s="3">
        <f>IF(L46="","",L46*1)</f>
        <v/>
      </c>
      <c r="N46" s="3">
        <f>IF(L46="","",ROUND(((G46+J46+M46)/90)*100,1))</f>
        <v/>
      </c>
      <c r="O46" s="5" t="n"/>
      <c r="P46" s="18" t="n"/>
      <c r="Q46" s="4" t="n"/>
    </row>
    <row r="47">
      <c r="A47" s="3" t="n">
        <v>42</v>
      </c>
      <c r="B47" s="4" t="inlineStr">
        <is>
          <t>Zokirova</t>
        </is>
      </c>
      <c r="C47" s="4" t="inlineStr">
        <is>
          <t>Madina</t>
        </is>
      </c>
      <c r="D47" s="3" t="n">
        <v>9</v>
      </c>
      <c r="E47" s="3">
        <f>20-F47</f>
        <v/>
      </c>
      <c r="F47" s="5" t="n"/>
      <c r="G47" s="3">
        <f>IF(L47="","",F47*2.5)</f>
        <v/>
      </c>
      <c r="H47" s="3">
        <f>20-I47</f>
        <v/>
      </c>
      <c r="I47" s="5" t="n"/>
      <c r="J47" s="3">
        <f>IF(L47="","",I47*1.5)</f>
        <v/>
      </c>
      <c r="K47" s="3">
        <f>10-L47</f>
        <v/>
      </c>
      <c r="L47" s="5" t="n"/>
      <c r="M47" s="3">
        <f>IF(L47="","",L47*1)</f>
        <v/>
      </c>
      <c r="N47" s="3">
        <f>IF(L47="","",ROUND(((G47+J47+M47)/90)*100,1))</f>
        <v/>
      </c>
      <c r="O47" s="5" t="n"/>
      <c r="P47" s="18" t="n"/>
      <c r="Q47" s="4" t="n"/>
    </row>
    <row r="48">
      <c r="A48" s="3" t="n">
        <v>43</v>
      </c>
      <c r="B48" s="4" t="inlineStr">
        <is>
          <t>Axmadov</t>
        </is>
      </c>
      <c r="C48" s="4" t="inlineStr">
        <is>
          <t>Ramzan</t>
        </is>
      </c>
      <c r="D48" s="3" t="n">
        <v>9</v>
      </c>
      <c r="E48" s="3">
        <f>20-F48</f>
        <v/>
      </c>
      <c r="F48" s="5" t="n"/>
      <c r="G48" s="3">
        <f>IF(L48="","",F48*2.5)</f>
        <v/>
      </c>
      <c r="H48" s="3">
        <f>20-I48</f>
        <v/>
      </c>
      <c r="I48" s="5" t="n"/>
      <c r="J48" s="3">
        <f>IF(L48="","",I48*1.5)</f>
        <v/>
      </c>
      <c r="K48" s="3">
        <f>10-L48</f>
        <v/>
      </c>
      <c r="L48" s="5" t="n"/>
      <c r="M48" s="3">
        <f>IF(L48="","",L48*1)</f>
        <v/>
      </c>
      <c r="N48" s="3">
        <f>IF(L48="","",ROUND(((G48+J48+M48)/90)*100,1))</f>
        <v/>
      </c>
      <c r="O48" s="5" t="n"/>
      <c r="P48" s="18" t="n"/>
      <c r="Q48" s="4" t="n"/>
    </row>
    <row r="49">
      <c r="A49" s="3" t="n">
        <v>44</v>
      </c>
      <c r="B49" s="4" t="inlineStr">
        <is>
          <t>Saparboyev</t>
        </is>
      </c>
      <c r="C49" s="4" t="inlineStr">
        <is>
          <t>Asilbek</t>
        </is>
      </c>
      <c r="D49" s="3" t="n">
        <v>9</v>
      </c>
      <c r="E49" s="3">
        <f>20-F49</f>
        <v/>
      </c>
      <c r="F49" s="5" t="n"/>
      <c r="G49" s="3">
        <f>IF(L49="","",F49*2.5)</f>
        <v/>
      </c>
      <c r="H49" s="3">
        <f>20-I49</f>
        <v/>
      </c>
      <c r="I49" s="5" t="n"/>
      <c r="J49" s="3">
        <f>IF(L49="","",I49*1.5)</f>
        <v/>
      </c>
      <c r="K49" s="3">
        <f>10-L49</f>
        <v/>
      </c>
      <c r="L49" s="5" t="n"/>
      <c r="M49" s="3">
        <f>IF(L49="","",L49*1)</f>
        <v/>
      </c>
      <c r="N49" s="3">
        <f>IF(L49="","",ROUND(((G49+J49+M49)/90)*100,1))</f>
        <v/>
      </c>
      <c r="O49" s="5" t="n"/>
      <c r="P49" s="18" t="n"/>
      <c r="Q49" s="4" t="inlineStr">
        <is>
          <t>954423433</t>
        </is>
      </c>
    </row>
    <row r="50">
      <c r="A50" s="3" t="n">
        <v>45</v>
      </c>
      <c r="B50" s="4" t="inlineStr">
        <is>
          <t>Xudoyberdieva</t>
        </is>
      </c>
      <c r="C50" s="4" t="inlineStr">
        <is>
          <t>Rafika</t>
        </is>
      </c>
      <c r="D50" s="3" t="n">
        <v>9</v>
      </c>
      <c r="E50" s="3">
        <f>20-F50</f>
        <v/>
      </c>
      <c r="F50" s="5" t="n"/>
      <c r="G50" s="3">
        <f>IF(L50="","",F50*2.5)</f>
        <v/>
      </c>
      <c r="H50" s="3">
        <f>20-I50</f>
        <v/>
      </c>
      <c r="I50" s="5" t="n"/>
      <c r="J50" s="3">
        <f>IF(L50="","",I50*1.5)</f>
        <v/>
      </c>
      <c r="K50" s="3">
        <f>10-L50</f>
        <v/>
      </c>
      <c r="L50" s="5" t="n"/>
      <c r="M50" s="3">
        <f>IF(L50="","",L50*1)</f>
        <v/>
      </c>
      <c r="N50" s="3">
        <f>IF(L50="","",ROUND(((G50+J50+M50)/90)*100,1))</f>
        <v/>
      </c>
      <c r="O50" s="5" t="n"/>
      <c r="P50" s="18" t="n"/>
      <c r="Q50" s="4" t="inlineStr">
        <is>
          <t>335126606</t>
        </is>
      </c>
    </row>
    <row r="51">
      <c r="A51" s="3" t="n">
        <v>46</v>
      </c>
      <c r="B51" s="4" t="inlineStr">
        <is>
          <t>Samadov</t>
        </is>
      </c>
      <c r="C51" s="4" t="inlineStr">
        <is>
          <t>Anvar</t>
        </is>
      </c>
      <c r="D51" s="3" t="n">
        <v>9</v>
      </c>
      <c r="E51" s="3">
        <f>20-F51</f>
        <v/>
      </c>
      <c r="F51" s="5" t="n"/>
      <c r="G51" s="3">
        <f>IF(L51="","",F51*2.5)</f>
        <v/>
      </c>
      <c r="H51" s="3">
        <f>20-I51</f>
        <v/>
      </c>
      <c r="I51" s="5" t="n"/>
      <c r="J51" s="3">
        <f>IF(L51="","",I51*1.5)</f>
        <v/>
      </c>
      <c r="K51" s="3">
        <f>10-L51</f>
        <v/>
      </c>
      <c r="L51" s="5" t="n"/>
      <c r="M51" s="3">
        <f>IF(L51="","",L51*1)</f>
        <v/>
      </c>
      <c r="N51" s="3">
        <f>IF(L51="","",ROUND(((G51+J51+M51)/90)*100,1))</f>
        <v/>
      </c>
      <c r="O51" s="5" t="n"/>
      <c r="P51" s="18" t="n"/>
      <c r="Q51" s="4" t="inlineStr">
        <is>
          <t>915080204</t>
        </is>
      </c>
    </row>
    <row r="52">
      <c r="A52" s="3" t="n">
        <v>47</v>
      </c>
      <c r="B52" s="4" t="inlineStr">
        <is>
          <t>Adilova</t>
        </is>
      </c>
      <c r="C52" s="4" t="inlineStr">
        <is>
          <t>Nigina</t>
        </is>
      </c>
      <c r="D52" s="3" t="n">
        <v>9</v>
      </c>
      <c r="E52" s="3">
        <f>20-F52</f>
        <v/>
      </c>
      <c r="F52" s="5" t="n"/>
      <c r="G52" s="3">
        <f>IF(L52="","",F52*2.5)</f>
        <v/>
      </c>
      <c r="H52" s="3">
        <f>20-I52</f>
        <v/>
      </c>
      <c r="I52" s="5" t="n"/>
      <c r="J52" s="3">
        <f>IF(L52="","",I52*1.5)</f>
        <v/>
      </c>
      <c r="K52" s="3">
        <f>10-L52</f>
        <v/>
      </c>
      <c r="L52" s="5" t="n"/>
      <c r="M52" s="3">
        <f>IF(L52="","",L52*1)</f>
        <v/>
      </c>
      <c r="N52" s="3">
        <f>IF(L52="","",ROUND(((G52+J52+M52)/90)*100,1))</f>
        <v/>
      </c>
      <c r="O52" s="5" t="n"/>
      <c r="P52" s="18" t="n"/>
      <c r="Q52" s="4" t="inlineStr">
        <is>
          <t>917775093</t>
        </is>
      </c>
    </row>
    <row r="53">
      <c r="A53" s="3" t="n">
        <v>48</v>
      </c>
      <c r="B53" s="4" t="inlineStr">
        <is>
          <t>Baxtiyorova</t>
        </is>
      </c>
      <c r="C53" s="4" t="inlineStr">
        <is>
          <t>Malika</t>
        </is>
      </c>
      <c r="D53" s="3" t="n">
        <v>9</v>
      </c>
      <c r="E53" s="3">
        <f>20-F53</f>
        <v/>
      </c>
      <c r="F53" s="5" t="n"/>
      <c r="G53" s="3">
        <f>IF(L53="","",F53*2.5)</f>
        <v/>
      </c>
      <c r="H53" s="3">
        <f>20-I53</f>
        <v/>
      </c>
      <c r="I53" s="5" t="n"/>
      <c r="J53" s="3">
        <f>IF(L53="","",I53*1.5)</f>
        <v/>
      </c>
      <c r="K53" s="3">
        <f>10-L53</f>
        <v/>
      </c>
      <c r="L53" s="5" t="n"/>
      <c r="M53" s="3">
        <f>IF(L53="","",L53*1)</f>
        <v/>
      </c>
      <c r="N53" s="3">
        <f>IF(L53="","",ROUND(((G53+J53+M53)/90)*100,1))</f>
        <v/>
      </c>
      <c r="O53" s="5" t="n"/>
      <c r="P53" s="18" t="n"/>
      <c r="Q53" s="4" t="inlineStr">
        <is>
          <t>880131613</t>
        </is>
      </c>
    </row>
    <row r="54">
      <c r="A54" s="3" t="n">
        <v>49</v>
      </c>
      <c r="B54" s="4" t="inlineStr">
        <is>
          <t>Qurbonova</t>
        </is>
      </c>
      <c r="C54" s="4" t="inlineStr">
        <is>
          <t>Mushtariy</t>
        </is>
      </c>
      <c r="D54" s="3" t="n">
        <v>9</v>
      </c>
      <c r="E54" s="3">
        <f>20-F54</f>
        <v/>
      </c>
      <c r="F54" s="5" t="n"/>
      <c r="G54" s="3">
        <f>IF(L54="","",F54*2.5)</f>
        <v/>
      </c>
      <c r="H54" s="3">
        <f>20-I54</f>
        <v/>
      </c>
      <c r="I54" s="5" t="n"/>
      <c r="J54" s="3">
        <f>IF(L54="","",I54*1.5)</f>
        <v/>
      </c>
      <c r="K54" s="3">
        <f>10-L54</f>
        <v/>
      </c>
      <c r="L54" s="5" t="n"/>
      <c r="M54" s="3">
        <f>IF(L54="","",L54*1)</f>
        <v/>
      </c>
      <c r="N54" s="3">
        <f>IF(L54="","",ROUND(((G54+J54+M54)/90)*100,1))</f>
        <v/>
      </c>
      <c r="O54" s="5" t="n"/>
      <c r="P54" s="18" t="n"/>
      <c r="Q54" s="4" t="inlineStr">
        <is>
          <t>949724828</t>
        </is>
      </c>
    </row>
    <row r="55">
      <c r="A55" s="3" t="n">
        <v>50</v>
      </c>
      <c r="B55" s="4" t="inlineStr">
        <is>
          <t>Tulaganova</t>
        </is>
      </c>
      <c r="C55" s="4" t="inlineStr">
        <is>
          <t>Maxrizoda</t>
        </is>
      </c>
      <c r="D55" s="3" t="n">
        <v>9</v>
      </c>
      <c r="E55" s="3">
        <f>20-F55</f>
        <v/>
      </c>
      <c r="F55" s="5" t="n"/>
      <c r="G55" s="3">
        <f>IF(L55="","",F55*2.5)</f>
        <v/>
      </c>
      <c r="H55" s="3">
        <f>20-I55</f>
        <v/>
      </c>
      <c r="I55" s="5" t="n"/>
      <c r="J55" s="3">
        <f>IF(L55="","",I55*1.5)</f>
        <v/>
      </c>
      <c r="K55" s="3">
        <f>10-L55</f>
        <v/>
      </c>
      <c r="L55" s="5" t="n"/>
      <c r="M55" s="3">
        <f>IF(L55="","",L55*1)</f>
        <v/>
      </c>
      <c r="N55" s="3">
        <f>IF(L55="","",ROUND(((G55+J55+M55)/90)*100,1))</f>
        <v/>
      </c>
      <c r="O55" s="5" t="n"/>
      <c r="P55" s="18" t="n"/>
      <c r="Q55" s="4" t="inlineStr">
        <is>
          <t>971113369</t>
        </is>
      </c>
    </row>
    <row r="56">
      <c r="A56" s="3" t="n">
        <v>51</v>
      </c>
      <c r="B56" s="4" t="inlineStr">
        <is>
          <t>Farmonov</t>
        </is>
      </c>
      <c r="C56" s="4" t="inlineStr">
        <is>
          <t>Nodirbek</t>
        </is>
      </c>
      <c r="D56" s="3" t="n">
        <v>9</v>
      </c>
      <c r="E56" s="3">
        <f>20-F56</f>
        <v/>
      </c>
      <c r="F56" s="5" t="n"/>
      <c r="G56" s="3">
        <f>IF(L56="","",F56*2.5)</f>
        <v/>
      </c>
      <c r="H56" s="3">
        <f>20-I56</f>
        <v/>
      </c>
      <c r="I56" s="5" t="n"/>
      <c r="J56" s="3">
        <f>IF(L56="","",I56*1.5)</f>
        <v/>
      </c>
      <c r="K56" s="3">
        <f>10-L56</f>
        <v/>
      </c>
      <c r="L56" s="5" t="n"/>
      <c r="M56" s="3">
        <f>IF(L56="","",L56*1)</f>
        <v/>
      </c>
      <c r="N56" s="3">
        <f>IF(L56="","",ROUND(((G56+J56+M56)/90)*100,1))</f>
        <v/>
      </c>
      <c r="O56" s="5" t="n"/>
      <c r="P56" s="18" t="n"/>
      <c r="Q56" s="4" t="inlineStr">
        <is>
          <t>917726577</t>
        </is>
      </c>
    </row>
    <row r="57">
      <c r="A57" s="3" t="n">
        <v>52</v>
      </c>
      <c r="B57" s="4" t="inlineStr">
        <is>
          <t>Abdusamadov</t>
        </is>
      </c>
      <c r="C57" s="4" t="inlineStr">
        <is>
          <t>SayidAmirxon</t>
        </is>
      </c>
      <c r="D57" s="3" t="n">
        <v>9</v>
      </c>
      <c r="E57" s="3">
        <f>20-F57</f>
        <v/>
      </c>
      <c r="F57" s="5" t="n"/>
      <c r="G57" s="3">
        <f>IF(L57="","",F57*2.5)</f>
        <v/>
      </c>
      <c r="H57" s="3">
        <f>20-I57</f>
        <v/>
      </c>
      <c r="I57" s="5" t="n"/>
      <c r="J57" s="3">
        <f>IF(L57="","",I57*1.5)</f>
        <v/>
      </c>
      <c r="K57" s="3">
        <f>10-L57</f>
        <v/>
      </c>
      <c r="L57" s="5" t="n"/>
      <c r="M57" s="3">
        <f>IF(L57="","",L57*1)</f>
        <v/>
      </c>
      <c r="N57" s="3">
        <f>IF(L57="","",ROUND(((G57+J57+M57)/90)*100,1))</f>
        <v/>
      </c>
      <c r="O57" s="5" t="n"/>
      <c r="P57" s="18" t="n"/>
      <c r="Q57" s="4" t="inlineStr">
        <is>
          <t>999822299</t>
        </is>
      </c>
    </row>
    <row r="58">
      <c r="A58" s="3" t="n">
        <v>53</v>
      </c>
      <c r="B58" s="4" t="inlineStr">
        <is>
          <t>Shuxratjonov</t>
        </is>
      </c>
      <c r="C58" s="4" t="inlineStr">
        <is>
          <t>Muhammad Amin</t>
        </is>
      </c>
      <c r="D58" s="3" t="n">
        <v>9</v>
      </c>
      <c r="E58" s="3">
        <f>20-F58</f>
        <v/>
      </c>
      <c r="F58" s="5" t="n"/>
      <c r="G58" s="3">
        <f>IF(L58="","",F58*2.5)</f>
        <v/>
      </c>
      <c r="H58" s="3">
        <f>20-I58</f>
        <v/>
      </c>
      <c r="I58" s="5" t="n"/>
      <c r="J58" s="3">
        <f>IF(L58="","",I58*1.5)</f>
        <v/>
      </c>
      <c r="K58" s="3">
        <f>10-L58</f>
        <v/>
      </c>
      <c r="L58" s="5" t="n"/>
      <c r="M58" s="3">
        <f>IF(L58="","",L58*1)</f>
        <v/>
      </c>
      <c r="N58" s="3">
        <f>IF(L58="","",ROUND(((G58+J58+M58)/90)*100,1))</f>
        <v/>
      </c>
      <c r="O58" s="5" t="n"/>
      <c r="P58" s="18" t="n"/>
      <c r="Q58" s="4" t="inlineStr">
        <is>
          <t>909494442</t>
        </is>
      </c>
    </row>
    <row r="59">
      <c r="A59" s="3" t="n">
        <v>54</v>
      </c>
      <c r="B59" s="4" t="inlineStr">
        <is>
          <t>Xokimjonov</t>
        </is>
      </c>
      <c r="C59" s="4" t="inlineStr">
        <is>
          <t>Xojakbar</t>
        </is>
      </c>
      <c r="D59" s="3" t="n">
        <v>9</v>
      </c>
      <c r="E59" s="3">
        <f>20-F59</f>
        <v/>
      </c>
      <c r="F59" s="5" t="n"/>
      <c r="G59" s="3">
        <f>IF(L59="","",F59*2.5)</f>
        <v/>
      </c>
      <c r="H59" s="3">
        <f>20-I59</f>
        <v/>
      </c>
      <c r="I59" s="5" t="n"/>
      <c r="J59" s="3">
        <f>IF(L59="","",I59*1.5)</f>
        <v/>
      </c>
      <c r="K59" s="3">
        <f>10-L59</f>
        <v/>
      </c>
      <c r="L59" s="5" t="n"/>
      <c r="M59" s="3">
        <f>IF(L59="","",L59*1)</f>
        <v/>
      </c>
      <c r="N59" s="3">
        <f>IF(L59="","",ROUND(((G59+J59+M59)/90)*100,1))</f>
        <v/>
      </c>
      <c r="O59" s="5" t="n"/>
      <c r="P59" s="18" t="n"/>
      <c r="Q59" s="4" t="inlineStr">
        <is>
          <t>932721262</t>
        </is>
      </c>
    </row>
    <row r="61">
      <c r="B61" s="19" t="inlineStr">
        <is>
          <t>Sariq katakchalarga TO'G'RI javoblar sonini kiriting (Matematika: 0-20, English: 0-20, Ona tili: 0-10). NATIJA va GRANT ustunlari qo'lda to'ldiriladi. Qolgan ustunlar avtomatik hisoblanadi. Maksimal UMUMIY % = 100.</t>
        </is>
      </c>
    </row>
    <row r="63">
      <c r="B63" s="19" t="inlineStr">
        <is>
          <t>Ro'yxat manbasi: imtihon kuni belgilangan (tik qo'yilgan) o'quvchilar va qo'lda qo'shilgan yozuvlar; shakl QABUL_IMTIHONI_10-SINF_with_phone.xlsx asosida.</t>
        </is>
      </c>
    </row>
  </sheetData>
  <autoFilter ref="N5:N69">
    <sortState ref="A6:Q71">
      <sortCondition descending="1" ref="N5:N69"/>
    </sortState>
  </autoFilter>
  <mergeCells count="7">
    <mergeCell ref="D3:Q3"/>
    <mergeCell ref="K4:M4"/>
    <mergeCell ref="A1:C3"/>
    <mergeCell ref="H4:J4"/>
    <mergeCell ref="D2:Q2"/>
    <mergeCell ref="D1:Q1"/>
    <mergeCell ref="E4:G4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2026-08-15T07:27:56Z</dcterms:created>
  <dcterms:modified xsi:type="dcterms:W3CDTF">2026-08-23T07:56:16Z</dcterms:modified>
  <cp:lastModifiedBy>AdminICT</cp:lastModifiedBy>
  <cp:revision>0</cp:revision>
</cp:coreProperties>
</file>