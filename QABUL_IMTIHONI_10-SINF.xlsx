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ADMISSION\10-11 grades 2026\"/>
    </mc:Choice>
  </mc:AlternateContent>
  <xr:revisionPtr revIDLastSave="0" documentId="13_ncr:1_{4422DC23-ED9E-4101-9B45-2818D0988D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10-SINF" sheetId="1" r:id="rId1"/>
  </sheets>
  <definedNames>
    <definedName name="_xlnm._FilterDatabase" localSheetId="0" hidden="1">'10-SINF'!$N$5:$N$72</definedName>
    <definedName name="_xlnm.Print_Titles" localSheetId="0">'10-SINF'!$1:$5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0" i="1" l="1"/>
  <c r="J70" i="1"/>
  <c r="K70" i="1"/>
  <c r="M70" i="1"/>
  <c r="N70" i="1"/>
  <c r="H70" i="1"/>
  <c r="E70" i="1"/>
  <c r="G69" i="1"/>
  <c r="J69" i="1"/>
  <c r="N69" i="1" s="1"/>
  <c r="K69" i="1"/>
  <c r="M69" i="1"/>
  <c r="H69" i="1"/>
  <c r="E69" i="1"/>
  <c r="G71" i="1"/>
  <c r="J71" i="1"/>
  <c r="K71" i="1"/>
  <c r="M71" i="1"/>
  <c r="N71" i="1"/>
  <c r="H71" i="1"/>
  <c r="E71" i="1"/>
  <c r="G26" i="1"/>
  <c r="J26" i="1"/>
  <c r="K26" i="1"/>
  <c r="M26" i="1"/>
  <c r="H26" i="1"/>
  <c r="E26" i="1"/>
  <c r="G42" i="1"/>
  <c r="J42" i="1"/>
  <c r="K42" i="1"/>
  <c r="M42" i="1"/>
  <c r="H42" i="1"/>
  <c r="E42" i="1"/>
  <c r="G72" i="1"/>
  <c r="J72" i="1"/>
  <c r="K72" i="1"/>
  <c r="M72" i="1"/>
  <c r="H72" i="1"/>
  <c r="E72" i="1"/>
  <c r="M33" i="1"/>
  <c r="M37" i="1"/>
  <c r="M15" i="1"/>
  <c r="M10" i="1"/>
  <c r="M57" i="1"/>
  <c r="M22" i="1"/>
  <c r="M21" i="1"/>
  <c r="M16" i="1"/>
  <c r="M67" i="1"/>
  <c r="M38" i="1"/>
  <c r="M58" i="1"/>
  <c r="M39" i="1"/>
  <c r="M34" i="1"/>
  <c r="M44" i="1"/>
  <c r="M13" i="1"/>
  <c r="M43" i="1"/>
  <c r="M47" i="1"/>
  <c r="M68" i="1"/>
  <c r="M55" i="1"/>
  <c r="M45" i="1"/>
  <c r="M56" i="1"/>
  <c r="M25" i="1"/>
  <c r="M8" i="1"/>
  <c r="M27" i="1"/>
  <c r="M60" i="1"/>
  <c r="M52" i="1"/>
  <c r="M7" i="1"/>
  <c r="M62" i="1"/>
  <c r="M20" i="1"/>
  <c r="M65" i="1"/>
  <c r="M46" i="1"/>
  <c r="M14" i="1"/>
  <c r="M61" i="1"/>
  <c r="M53" i="1"/>
  <c r="M17" i="1"/>
  <c r="M54" i="1"/>
  <c r="M30" i="1"/>
  <c r="M40" i="1"/>
  <c r="M28" i="1"/>
  <c r="M6" i="1"/>
  <c r="M41" i="1"/>
  <c r="M49" i="1"/>
  <c r="M24" i="1"/>
  <c r="M18" i="1"/>
  <c r="M48" i="1"/>
  <c r="M50" i="1"/>
  <c r="M19" i="1"/>
  <c r="M11" i="1"/>
  <c r="M63" i="1"/>
  <c r="M29" i="1"/>
  <c r="M51" i="1"/>
  <c r="M36" i="1"/>
  <c r="M64" i="1"/>
  <c r="M59" i="1"/>
  <c r="M66" i="1"/>
  <c r="M12" i="1"/>
  <c r="M32" i="1"/>
  <c r="M35" i="1"/>
  <c r="M31" i="1"/>
  <c r="M9" i="1"/>
  <c r="K33" i="1"/>
  <c r="K37" i="1"/>
  <c r="K15" i="1"/>
  <c r="K10" i="1"/>
  <c r="K57" i="1"/>
  <c r="K22" i="1"/>
  <c r="K21" i="1"/>
  <c r="K16" i="1"/>
  <c r="K67" i="1"/>
  <c r="K38" i="1"/>
  <c r="K58" i="1"/>
  <c r="K39" i="1"/>
  <c r="K34" i="1"/>
  <c r="K44" i="1"/>
  <c r="K13" i="1"/>
  <c r="K43" i="1"/>
  <c r="K47" i="1"/>
  <c r="K68" i="1"/>
  <c r="K55" i="1"/>
  <c r="K45" i="1"/>
  <c r="K56" i="1"/>
  <c r="K25" i="1"/>
  <c r="K8" i="1"/>
  <c r="K27" i="1"/>
  <c r="K60" i="1"/>
  <c r="K52" i="1"/>
  <c r="K7" i="1"/>
  <c r="K62" i="1"/>
  <c r="K20" i="1"/>
  <c r="K65" i="1"/>
  <c r="K46" i="1"/>
  <c r="K14" i="1"/>
  <c r="K61" i="1"/>
  <c r="K53" i="1"/>
  <c r="K17" i="1"/>
  <c r="K54" i="1"/>
  <c r="K30" i="1"/>
  <c r="K40" i="1"/>
  <c r="K28" i="1"/>
  <c r="K6" i="1"/>
  <c r="K41" i="1"/>
  <c r="K49" i="1"/>
  <c r="K24" i="1"/>
  <c r="K18" i="1"/>
  <c r="K48" i="1"/>
  <c r="K50" i="1"/>
  <c r="K19" i="1"/>
  <c r="K11" i="1"/>
  <c r="K63" i="1"/>
  <c r="K29" i="1"/>
  <c r="K51" i="1"/>
  <c r="K36" i="1"/>
  <c r="K64" i="1"/>
  <c r="K59" i="1"/>
  <c r="K66" i="1"/>
  <c r="K12" i="1"/>
  <c r="K32" i="1"/>
  <c r="K35" i="1"/>
  <c r="K31" i="1"/>
  <c r="K9" i="1"/>
  <c r="J33" i="1"/>
  <c r="J37" i="1"/>
  <c r="J15" i="1"/>
  <c r="J10" i="1"/>
  <c r="J57" i="1"/>
  <c r="J22" i="1"/>
  <c r="J21" i="1"/>
  <c r="J16" i="1"/>
  <c r="J67" i="1"/>
  <c r="J38" i="1"/>
  <c r="J58" i="1"/>
  <c r="J39" i="1"/>
  <c r="J34" i="1"/>
  <c r="J44" i="1"/>
  <c r="J13" i="1"/>
  <c r="J43" i="1"/>
  <c r="J47" i="1"/>
  <c r="J68" i="1"/>
  <c r="J55" i="1"/>
  <c r="J45" i="1"/>
  <c r="J56" i="1"/>
  <c r="J25" i="1"/>
  <c r="J8" i="1"/>
  <c r="J27" i="1"/>
  <c r="J60" i="1"/>
  <c r="J52" i="1"/>
  <c r="J7" i="1"/>
  <c r="J62" i="1"/>
  <c r="J20" i="1"/>
  <c r="J65" i="1"/>
  <c r="J46" i="1"/>
  <c r="J14" i="1"/>
  <c r="J61" i="1"/>
  <c r="J53" i="1"/>
  <c r="J17" i="1"/>
  <c r="J54" i="1"/>
  <c r="J30" i="1"/>
  <c r="J40" i="1"/>
  <c r="J28" i="1"/>
  <c r="J6" i="1"/>
  <c r="J41" i="1"/>
  <c r="J49" i="1"/>
  <c r="J24" i="1"/>
  <c r="J18" i="1"/>
  <c r="J48" i="1"/>
  <c r="J50" i="1"/>
  <c r="J19" i="1"/>
  <c r="J11" i="1"/>
  <c r="J63" i="1"/>
  <c r="J29" i="1"/>
  <c r="J51" i="1"/>
  <c r="J36" i="1"/>
  <c r="J64" i="1"/>
  <c r="J59" i="1"/>
  <c r="J66" i="1"/>
  <c r="J12" i="1"/>
  <c r="J32" i="1"/>
  <c r="J35" i="1"/>
  <c r="J31" i="1"/>
  <c r="J9" i="1"/>
  <c r="H33" i="1"/>
  <c r="H37" i="1"/>
  <c r="H15" i="1"/>
  <c r="H10" i="1"/>
  <c r="H57" i="1"/>
  <c r="H22" i="1"/>
  <c r="H21" i="1"/>
  <c r="H16" i="1"/>
  <c r="H67" i="1"/>
  <c r="H38" i="1"/>
  <c r="H58" i="1"/>
  <c r="H39" i="1"/>
  <c r="H34" i="1"/>
  <c r="H44" i="1"/>
  <c r="H13" i="1"/>
  <c r="H43" i="1"/>
  <c r="H47" i="1"/>
  <c r="H68" i="1"/>
  <c r="H55" i="1"/>
  <c r="H45" i="1"/>
  <c r="H56" i="1"/>
  <c r="H25" i="1"/>
  <c r="H8" i="1"/>
  <c r="H27" i="1"/>
  <c r="H60" i="1"/>
  <c r="H52" i="1"/>
  <c r="H7" i="1"/>
  <c r="H62" i="1"/>
  <c r="H20" i="1"/>
  <c r="H65" i="1"/>
  <c r="H46" i="1"/>
  <c r="H14" i="1"/>
  <c r="H61" i="1"/>
  <c r="H53" i="1"/>
  <c r="H17" i="1"/>
  <c r="H54" i="1"/>
  <c r="H30" i="1"/>
  <c r="H40" i="1"/>
  <c r="H28" i="1"/>
  <c r="H6" i="1"/>
  <c r="H41" i="1"/>
  <c r="H49" i="1"/>
  <c r="H24" i="1"/>
  <c r="H18" i="1"/>
  <c r="H48" i="1"/>
  <c r="H50" i="1"/>
  <c r="H19" i="1"/>
  <c r="H11" i="1"/>
  <c r="H63" i="1"/>
  <c r="H29" i="1"/>
  <c r="H51" i="1"/>
  <c r="H36" i="1"/>
  <c r="H64" i="1"/>
  <c r="H59" i="1"/>
  <c r="H66" i="1"/>
  <c r="H12" i="1"/>
  <c r="H32" i="1"/>
  <c r="H35" i="1"/>
  <c r="H31" i="1"/>
  <c r="H9" i="1"/>
  <c r="G33" i="1"/>
  <c r="G37" i="1"/>
  <c r="G15" i="1"/>
  <c r="G10" i="1"/>
  <c r="G57" i="1"/>
  <c r="G22" i="1"/>
  <c r="G21" i="1"/>
  <c r="G16" i="1"/>
  <c r="G67" i="1"/>
  <c r="G38" i="1"/>
  <c r="G58" i="1"/>
  <c r="G39" i="1"/>
  <c r="G34" i="1"/>
  <c r="G44" i="1"/>
  <c r="G13" i="1"/>
  <c r="G43" i="1"/>
  <c r="G47" i="1"/>
  <c r="G68" i="1"/>
  <c r="G55" i="1"/>
  <c r="G45" i="1"/>
  <c r="G56" i="1"/>
  <c r="G25" i="1"/>
  <c r="G8" i="1"/>
  <c r="G27" i="1"/>
  <c r="G60" i="1"/>
  <c r="G52" i="1"/>
  <c r="G7" i="1"/>
  <c r="G62" i="1"/>
  <c r="G20" i="1"/>
  <c r="G65" i="1"/>
  <c r="G46" i="1"/>
  <c r="G14" i="1"/>
  <c r="G61" i="1"/>
  <c r="G53" i="1"/>
  <c r="G17" i="1"/>
  <c r="G54" i="1"/>
  <c r="G30" i="1"/>
  <c r="G40" i="1"/>
  <c r="G28" i="1"/>
  <c r="G6" i="1"/>
  <c r="G41" i="1"/>
  <c r="G49" i="1"/>
  <c r="G24" i="1"/>
  <c r="G18" i="1"/>
  <c r="G48" i="1"/>
  <c r="G50" i="1"/>
  <c r="G19" i="1"/>
  <c r="G11" i="1"/>
  <c r="G63" i="1"/>
  <c r="G29" i="1"/>
  <c r="G51" i="1"/>
  <c r="G36" i="1"/>
  <c r="G64" i="1"/>
  <c r="G59" i="1"/>
  <c r="G66" i="1"/>
  <c r="G12" i="1"/>
  <c r="G32" i="1"/>
  <c r="G35" i="1"/>
  <c r="G31" i="1"/>
  <c r="G9" i="1"/>
  <c r="G73" i="1"/>
  <c r="E33" i="1"/>
  <c r="E37" i="1"/>
  <c r="E15" i="1"/>
  <c r="E10" i="1"/>
  <c r="E57" i="1"/>
  <c r="E22" i="1"/>
  <c r="E21" i="1"/>
  <c r="E16" i="1"/>
  <c r="E67" i="1"/>
  <c r="E38" i="1"/>
  <c r="E58" i="1"/>
  <c r="E39" i="1"/>
  <c r="E34" i="1"/>
  <c r="E44" i="1"/>
  <c r="E13" i="1"/>
  <c r="E43" i="1"/>
  <c r="E47" i="1"/>
  <c r="E68" i="1"/>
  <c r="E55" i="1"/>
  <c r="E45" i="1"/>
  <c r="E56" i="1"/>
  <c r="E25" i="1"/>
  <c r="E8" i="1"/>
  <c r="E27" i="1"/>
  <c r="E60" i="1"/>
  <c r="E52" i="1"/>
  <c r="E7" i="1"/>
  <c r="E62" i="1"/>
  <c r="E20" i="1"/>
  <c r="E65" i="1"/>
  <c r="E46" i="1"/>
  <c r="E14" i="1"/>
  <c r="E61" i="1"/>
  <c r="E53" i="1"/>
  <c r="E17" i="1"/>
  <c r="E54" i="1"/>
  <c r="E30" i="1"/>
  <c r="E40" i="1"/>
  <c r="E28" i="1"/>
  <c r="E6" i="1"/>
  <c r="E41" i="1"/>
  <c r="E49" i="1"/>
  <c r="E24" i="1"/>
  <c r="E18" i="1"/>
  <c r="E48" i="1"/>
  <c r="E50" i="1"/>
  <c r="E19" i="1"/>
  <c r="E11" i="1"/>
  <c r="E63" i="1"/>
  <c r="E29" i="1"/>
  <c r="E51" i="1"/>
  <c r="E36" i="1"/>
  <c r="E64" i="1"/>
  <c r="E59" i="1"/>
  <c r="E66" i="1"/>
  <c r="E12" i="1"/>
  <c r="E32" i="1"/>
  <c r="E35" i="1"/>
  <c r="E31" i="1"/>
  <c r="E9" i="1"/>
  <c r="K23" i="1"/>
  <c r="H23" i="1"/>
  <c r="G23" i="1"/>
  <c r="J23" i="1"/>
  <c r="M23" i="1"/>
  <c r="E23" i="1"/>
  <c r="N26" i="1" l="1"/>
  <c r="N42" i="1"/>
  <c r="N9" i="1"/>
  <c r="N12" i="1"/>
  <c r="N36" i="1"/>
  <c r="N11" i="1"/>
  <c r="N18" i="1"/>
  <c r="N6" i="1"/>
  <c r="N54" i="1"/>
  <c r="N14" i="1"/>
  <c r="N62" i="1"/>
  <c r="N27" i="1"/>
  <c r="N45" i="1"/>
  <c r="N43" i="1"/>
  <c r="N34" i="1"/>
  <c r="N67" i="1"/>
  <c r="N57" i="1"/>
  <c r="N33" i="1"/>
  <c r="N72" i="1"/>
  <c r="N31" i="1"/>
  <c r="N66" i="1"/>
  <c r="N51" i="1"/>
  <c r="N19" i="1"/>
  <c r="N24" i="1"/>
  <c r="N28" i="1"/>
  <c r="N17" i="1"/>
  <c r="N46" i="1"/>
  <c r="N7" i="1"/>
  <c r="N8" i="1"/>
  <c r="N55" i="1"/>
  <c r="N13" i="1"/>
  <c r="N39" i="1"/>
  <c r="N16" i="1"/>
  <c r="N10" i="1"/>
  <c r="N32" i="1"/>
  <c r="N64" i="1"/>
  <c r="N63" i="1"/>
  <c r="N48" i="1"/>
  <c r="N41" i="1"/>
  <c r="N30" i="1"/>
  <c r="N61" i="1"/>
  <c r="N20" i="1"/>
  <c r="N60" i="1"/>
  <c r="N56" i="1"/>
  <c r="N47" i="1"/>
  <c r="N44" i="1"/>
  <c r="N38" i="1"/>
  <c r="N22" i="1"/>
  <c r="N37" i="1"/>
  <c r="N35" i="1"/>
  <c r="N59" i="1"/>
  <c r="N29" i="1"/>
  <c r="N50" i="1"/>
  <c r="N49" i="1"/>
  <c r="N40" i="1"/>
  <c r="N53" i="1"/>
  <c r="N65" i="1"/>
  <c r="N52" i="1"/>
  <c r="N25" i="1"/>
  <c r="N68" i="1"/>
  <c r="N58" i="1"/>
  <c r="N21" i="1"/>
  <c r="N15" i="1"/>
  <c r="N23" i="1"/>
</calcChain>
</file>

<file path=xl/sharedStrings.xml><?xml version="1.0" encoding="utf-8"?>
<sst xmlns="http://schemas.openxmlformats.org/spreadsheetml/2006/main" count="155" uniqueCount="144">
  <si>
    <t>ELLIPSE INTERNATIONAL SCHOOL</t>
  </si>
  <si>
    <t>QABUL IMTIHONI NATIJALARI  —  10-SINF</t>
  </si>
  <si>
    <t>2026-yil  |  Matematika  •  English  •  Ona tili / Rus tili</t>
  </si>
  <si>
    <t>Matematika</t>
  </si>
  <si>
    <t>English</t>
  </si>
  <si>
    <t>Ona tili / Rus tili</t>
  </si>
  <si>
    <t>#</t>
  </si>
  <si>
    <t>FAMILYA</t>
  </si>
  <si>
    <t>ISM</t>
  </si>
  <si>
    <t>Sinf</t>
  </si>
  <si>
    <t>NOTO'GRI</t>
  </si>
  <si>
    <t>TO'G'RI (2.5 BALL)</t>
  </si>
  <si>
    <t>TO'G'RI (1.5 BALL)</t>
  </si>
  <si>
    <t>UMUMIY %</t>
  </si>
  <si>
    <t>GRANT</t>
  </si>
  <si>
    <t>Abdasimov</t>
  </si>
  <si>
    <t>Bexruzbek</t>
  </si>
  <si>
    <t>Abdulazizov</t>
  </si>
  <si>
    <t>Abdulbosit</t>
  </si>
  <si>
    <t>Abdullaev</t>
  </si>
  <si>
    <t>Abdurasulova</t>
  </si>
  <si>
    <t>Madina</t>
  </si>
  <si>
    <t>Abdurazzoqov</t>
  </si>
  <si>
    <t>Abdumavlon</t>
  </si>
  <si>
    <t>Akhmedov</t>
  </si>
  <si>
    <t>Sardorbek</t>
  </si>
  <si>
    <t>Alisherov</t>
  </si>
  <si>
    <t>Mirkamol</t>
  </si>
  <si>
    <t>Avazov</t>
  </si>
  <si>
    <t>Abdulvadud</t>
  </si>
  <si>
    <t>Axmedova</t>
  </si>
  <si>
    <t>Durdona</t>
  </si>
  <si>
    <t>Baboxodjaev</t>
  </si>
  <si>
    <t>Abdulla</t>
  </si>
  <si>
    <t>Shamsiddin</t>
  </si>
  <si>
    <t>Baxodirov</t>
  </si>
  <si>
    <t>Saidalo</t>
  </si>
  <si>
    <t>Baxromova</t>
  </si>
  <si>
    <t>Fotima</t>
  </si>
  <si>
    <t>Zuhra</t>
  </si>
  <si>
    <t>Baxtiyorov</t>
  </si>
  <si>
    <t>Bilol</t>
  </si>
  <si>
    <t>Bobur</t>
  </si>
  <si>
    <t>Boxodirov</t>
  </si>
  <si>
    <t>Imronbek</t>
  </si>
  <si>
    <t>Erkinov</t>
  </si>
  <si>
    <t>Xumoyun</t>
  </si>
  <si>
    <t>Fatxullayev</t>
  </si>
  <si>
    <t>Ozodbek</t>
  </si>
  <si>
    <t>Islomov</t>
  </si>
  <si>
    <t>Xondamir</t>
  </si>
  <si>
    <t>Joldashbayev</t>
  </si>
  <si>
    <t>Aslanbek</t>
  </si>
  <si>
    <t>Jumaboev</t>
  </si>
  <si>
    <t>Javohir</t>
  </si>
  <si>
    <t>Ko'zmatov</t>
  </si>
  <si>
    <t>Anvar</t>
  </si>
  <si>
    <t>Muhammadova</t>
  </si>
  <si>
    <t>Charos</t>
  </si>
  <si>
    <t>Nabiev</t>
  </si>
  <si>
    <t>Abduhalil</t>
  </si>
  <si>
    <t>Nazarzoda</t>
  </si>
  <si>
    <t>Boyon</t>
  </si>
  <si>
    <t>Nuriddinov</t>
  </si>
  <si>
    <t>Pavlova</t>
  </si>
  <si>
    <t>Tatyana</t>
  </si>
  <si>
    <t>Rahimjonova</t>
  </si>
  <si>
    <t>Dilbar</t>
  </si>
  <si>
    <t>Rashidov</t>
  </si>
  <si>
    <t>Akbarjon</t>
  </si>
  <si>
    <t>Raximjanov</t>
  </si>
  <si>
    <t>Bexruz</t>
  </si>
  <si>
    <t>Saidakbar</t>
  </si>
  <si>
    <t>Sulaymon</t>
  </si>
  <si>
    <t>Samariddinova</t>
  </si>
  <si>
    <t>Mubinabonu</t>
  </si>
  <si>
    <t>Shoyusupova</t>
  </si>
  <si>
    <t>Shodiya</t>
  </si>
  <si>
    <t>Shuxratov</t>
  </si>
  <si>
    <t>Mirsaid</t>
  </si>
  <si>
    <t>Samira</t>
  </si>
  <si>
    <t>Tadjieva</t>
  </si>
  <si>
    <t>Hayriniso</t>
  </si>
  <si>
    <t>Tillaxojayev</t>
  </si>
  <si>
    <t>Ilyosxoja</t>
  </si>
  <si>
    <t>Ulugbekova</t>
  </si>
  <si>
    <t>Elnora</t>
  </si>
  <si>
    <t>Xayitmetov</t>
  </si>
  <si>
    <t>Timur</t>
  </si>
  <si>
    <t>Xudoyberdiyev</t>
  </si>
  <si>
    <t>Shahobiddin</t>
  </si>
  <si>
    <t>Yunusov</t>
  </si>
  <si>
    <t>Ibrohim</t>
  </si>
  <si>
    <t>Salohiddin</t>
  </si>
  <si>
    <t>Zulfiqorov</t>
  </si>
  <si>
    <t>Azizbek</t>
  </si>
  <si>
    <t>Muhammaddier</t>
  </si>
  <si>
    <t>Ball</t>
  </si>
  <si>
    <t>G'ayratov</t>
  </si>
  <si>
    <t>Bahovuddin</t>
  </si>
  <si>
    <t>Kuralbayeva</t>
  </si>
  <si>
    <t>Laylo</t>
  </si>
  <si>
    <t>Mumurova</t>
  </si>
  <si>
    <t>Abdurahmonova</t>
  </si>
  <si>
    <t>Muhlisa</t>
  </si>
  <si>
    <t>Begmatov</t>
  </si>
  <si>
    <t>Ahror</t>
  </si>
  <si>
    <t>Akramov</t>
  </si>
  <si>
    <t>Mustafo</t>
  </si>
  <si>
    <t>Akmaljonova</t>
  </si>
  <si>
    <t>Fariza</t>
  </si>
  <si>
    <t>Agzamova</t>
  </si>
  <si>
    <t>Soliha</t>
  </si>
  <si>
    <t>Normamatova</t>
  </si>
  <si>
    <t>Shahrizoda</t>
  </si>
  <si>
    <t>Bahodirova</t>
  </si>
  <si>
    <t>Anora</t>
  </si>
  <si>
    <t>Khalid</t>
  </si>
  <si>
    <t>Shukurullaev</t>
  </si>
  <si>
    <t>Nurmuhammad</t>
  </si>
  <si>
    <t>Mirsadikov</t>
  </si>
  <si>
    <t>MuhammadAmin</t>
  </si>
  <si>
    <t>Valiev</t>
  </si>
  <si>
    <t>Behruz</t>
  </si>
  <si>
    <t>Navasova</t>
  </si>
  <si>
    <t>Akramzhonov</t>
  </si>
  <si>
    <t>Abdulboriy</t>
  </si>
  <si>
    <t>Yusufbek</t>
  </si>
  <si>
    <t>Muhammadiev</t>
  </si>
  <si>
    <t>Somadova</t>
  </si>
  <si>
    <t>Asatillaev</t>
  </si>
  <si>
    <t>Xa</t>
  </si>
  <si>
    <t>Anzhelika</t>
  </si>
  <si>
    <t>Oqilxon</t>
  </si>
  <si>
    <t>Jorajonova</t>
  </si>
  <si>
    <t>Jumaev</t>
  </si>
  <si>
    <t>Shoxjahon</t>
  </si>
  <si>
    <t>Mohlaroy</t>
  </si>
  <si>
    <t>Abdu</t>
  </si>
  <si>
    <t>Biloliddin</t>
  </si>
  <si>
    <t>Tolkinova</t>
  </si>
  <si>
    <t>Farida</t>
  </si>
  <si>
    <t>Hamidullayeva</t>
  </si>
  <si>
    <t>Oisha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</si>
</sst>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11"/>
      <name val="Calibri Light"/>
      <family val="2"/>
    </font>
    <font>
      <i/>
      <sz val="9"/>
      <color rgb="FF7F7F7F"/>
      <name val="Arial"/>
      <family val="2"/>
    </font>
    <font>
      <sz val="14"/>
      <color rgb="FFFFFFFF"/>
      <name val="Arial"/>
      <family val="2"/>
    </font>
    <font>
      <b/>
      <sz val="9"/>
      <color rgb="FFFFFFFF"/>
      <name val="Arial"/>
      <family val="2"/>
    </font>
    <font>
      <sz val="11"/>
      <color theme="1"/>
      <name val="Calibri"/>
      <family val="2"/>
      <charset val="1"/>
    </font>
    <font>
      <sz val="11"/>
      <name val="Cambria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5F5F5"/>
        <bgColor rgb="FFFFF7E0"/>
      </patternFill>
    </fill>
    <fill>
      <patternFill patternType="solid">
        <fgColor rgb="FF006E41"/>
        <bgColor rgb="FF008080"/>
      </patternFill>
    </fill>
    <fill>
      <patternFill patternType="solid">
        <fgColor rgb="FF004D2E"/>
        <bgColor rgb="FF006E41"/>
      </patternFill>
    </fill>
    <fill>
      <patternFill patternType="solid">
        <fgColor rgb="FFF48124"/>
        <bgColor rgb="FFFF6600"/>
      </patternFill>
    </fill>
    <fill>
      <patternFill patternType="solid">
        <fgColor rgb="FFFFFFFF"/>
        <bgColor rgb="FFF5F5F5"/>
      </patternFill>
    </fill>
    <fill>
      <patternFill patternType="solid">
        <fgColor rgb="FFFFF7E0"/>
        <bgColor rgb="FFF5F5F5"/>
      </patternFill>
    </fill>
    <fill>
      <patternFill patternType="solid">
        <fgColor rgb="FFFDE7D4"/>
        <bgColor rgb="FFFDE7D4"/>
      </patternFill>
    </fill>
    <fill>
      <patternFill patternType="solid">
        <fgColor rgb="FFFFFF00"/>
        <bgColor rgb="FFF5F5F5"/>
      </patternFill>
    </fill>
    <fill>
      <patternFill patternType="solid">
        <fgColor rgb="FFFFFF00"/>
        <bgColor rgb="FFFDE7D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/>
    <xf numFmtId="0" fontId="8" fillId="4" borderId="1" xfId="0" applyFont="1" applyFill="1" applyBorder="1" applyAlignment="1">
      <alignment horizontal="center" vertical="center" wrapText="1"/>
    </xf>
    <xf numFmtId="9" fontId="10" fillId="8" borderId="2" xfId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9" fontId="10" fillId="10" borderId="2" xfId="1" applyFont="1" applyFill="1" applyBorder="1" applyAlignment="1">
      <alignment horizontal="center" vertical="center"/>
    </xf>
    <xf numFmtId="0" fontId="0" fillId="11" borderId="0" xfId="0" applyFill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1"/>
      <rgbColor rgb="FFBFBFBF"/>
      <rgbColor rgb="FF7F7F7F"/>
      <rgbColor rgb="FF9999FF"/>
      <rgbColor rgb="FF993366"/>
      <rgbColor rgb="FFFFF7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8124"/>
      <rgbColor rgb="FFFF6600"/>
      <rgbColor rgb="FF666699"/>
      <rgbColor rgb="FF969696"/>
      <rgbColor rgb="FF003366"/>
      <rgbColor rgb="FF339966"/>
      <rgbColor rgb="FF004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76200</xdr:rowOff>
    </xdr:from>
    <xdr:to>
      <xdr:col>2</xdr:col>
      <xdr:colOff>790575</xdr:colOff>
      <xdr:row>2</xdr:row>
      <xdr:rowOff>185962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F4B17-3B62-CDB1-1FDA-8E2356F11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76200"/>
          <a:ext cx="1990725" cy="614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showGridLines="0" tabSelected="1" zoomScaleNormal="100" workbookViewId="0">
      <pane ySplit="5" topLeftCell="A66" activePane="bottomLeft" state="frozen"/>
      <selection pane="bottomLeft" activeCell="N70" sqref="N70"/>
    </sheetView>
  </sheetViews>
  <sheetFormatPr defaultColWidth="8.7109375" defaultRowHeight="15" x14ac:dyDescent="0.25"/>
  <cols>
    <col min="1" max="1" width="4" customWidth="1"/>
    <col min="2" max="2" width="17.5703125" customWidth="1"/>
    <col min="3" max="3" width="14.7109375" customWidth="1"/>
    <col min="4" max="4" width="5" customWidth="1"/>
    <col min="5" max="5" width="8.85546875" customWidth="1"/>
    <col min="6" max="6" width="8.42578125" customWidth="1"/>
    <col min="7" max="7" width="5.5703125" customWidth="1"/>
    <col min="8" max="8" width="8.85546875" customWidth="1"/>
    <col min="9" max="9" width="8.42578125" customWidth="1"/>
    <col min="10" max="10" width="5.5703125" customWidth="1"/>
    <col min="11" max="11" width="8.85546875" customWidth="1"/>
    <col min="12" max="12" width="8.42578125" customWidth="1"/>
    <col min="13" max="13" width="5.5703125" customWidth="1"/>
    <col min="14" max="14" width="15.42578125" customWidth="1"/>
    <col min="15" max="15" width="9.28515625" customWidth="1"/>
    <col min="16" max="16" width="7.42578125" customWidth="1"/>
  </cols>
  <sheetData>
    <row r="1" spans="1:16" ht="23.25" customHeight="1" x14ac:dyDescent="0.25">
      <c r="A1" s="15"/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6.5" customHeight="1" x14ac:dyDescent="0.25">
      <c r="A2" s="15"/>
      <c r="B2" s="15"/>
      <c r="C2" s="15"/>
      <c r="D2" s="17" t="s">
        <v>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8" x14ac:dyDescent="0.25">
      <c r="A3" s="15"/>
      <c r="B3" s="15"/>
      <c r="C3" s="15"/>
      <c r="D3" s="18" t="s">
        <v>2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8" customHeight="1" x14ac:dyDescent="0.25">
      <c r="A4" s="1"/>
      <c r="B4" s="1"/>
      <c r="C4" s="1"/>
      <c r="D4" s="1"/>
      <c r="E4" s="19" t="s">
        <v>3</v>
      </c>
      <c r="F4" s="19"/>
      <c r="G4" s="19"/>
      <c r="H4" s="20" t="s">
        <v>4</v>
      </c>
      <c r="I4" s="20"/>
      <c r="J4" s="20"/>
      <c r="K4" s="21" t="s">
        <v>5</v>
      </c>
      <c r="L4" s="21"/>
      <c r="M4" s="21"/>
      <c r="N4" s="1"/>
      <c r="O4" s="1"/>
      <c r="P4" s="1"/>
    </row>
    <row r="5" spans="1:16" ht="36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7" t="s">
        <v>97</v>
      </c>
      <c r="H5" s="1" t="s">
        <v>10</v>
      </c>
      <c r="I5" s="2" t="s">
        <v>12</v>
      </c>
      <c r="J5" s="7" t="s">
        <v>97</v>
      </c>
      <c r="K5" s="1" t="s">
        <v>10</v>
      </c>
      <c r="L5" s="2" t="s">
        <v>12</v>
      </c>
      <c r="M5" s="7" t="s">
        <v>97</v>
      </c>
      <c r="N5" s="1" t="s">
        <v>13</v>
      </c>
      <c r="O5" s="1"/>
      <c r="P5" s="1" t="s">
        <v>14</v>
      </c>
    </row>
    <row r="6" spans="1:16" x14ac:dyDescent="0.25">
      <c r="A6" s="3">
        <v>1</v>
      </c>
      <c r="B6" s="4" t="s">
        <v>91</v>
      </c>
      <c r="C6" s="4" t="s">
        <v>93</v>
      </c>
      <c r="D6" s="3">
        <v>10</v>
      </c>
      <c r="E6" s="3">
        <f t="shared" ref="E6:E37" si="0">20-F6</f>
        <v>2</v>
      </c>
      <c r="F6" s="5">
        <v>18</v>
      </c>
      <c r="G6" s="3">
        <f t="shared" ref="G6:G37" si="1">IF(L6="","",F6*2.5)</f>
        <v>45</v>
      </c>
      <c r="H6" s="3">
        <f t="shared" ref="H6:H37" si="2">20-I6</f>
        <v>1</v>
      </c>
      <c r="I6" s="5">
        <v>19</v>
      </c>
      <c r="J6" s="3">
        <f t="shared" ref="J6:J37" si="3">IF(L6="","",I6*1.5)</f>
        <v>28.5</v>
      </c>
      <c r="K6" s="3">
        <f t="shared" ref="K6:K37" si="4">10-L6</f>
        <v>4</v>
      </c>
      <c r="L6" s="5">
        <v>6</v>
      </c>
      <c r="M6" s="3">
        <f t="shared" ref="M6:M37" si="5">IF(L6="","",L6*1)</f>
        <v>6</v>
      </c>
      <c r="N6" s="3">
        <f t="shared" ref="N6:N37" si="6">ROUND(((G6+J6+M6)/90)*100,1)</f>
        <v>88.3</v>
      </c>
      <c r="O6" s="9"/>
      <c r="P6" s="8">
        <v>1</v>
      </c>
    </row>
    <row r="7" spans="1:16" x14ac:dyDescent="0.25">
      <c r="A7" s="3">
        <v>2</v>
      </c>
      <c r="B7" s="4" t="s">
        <v>68</v>
      </c>
      <c r="C7" s="4" t="s">
        <v>69</v>
      </c>
      <c r="D7" s="3">
        <v>10</v>
      </c>
      <c r="E7" s="3">
        <f t="shared" si="0"/>
        <v>2</v>
      </c>
      <c r="F7" s="5">
        <v>18</v>
      </c>
      <c r="G7" s="3">
        <f t="shared" si="1"/>
        <v>45</v>
      </c>
      <c r="H7" s="3">
        <f t="shared" si="2"/>
        <v>1</v>
      </c>
      <c r="I7" s="5">
        <v>19</v>
      </c>
      <c r="J7" s="3">
        <f t="shared" si="3"/>
        <v>28.5</v>
      </c>
      <c r="K7" s="3">
        <f t="shared" si="4"/>
        <v>5</v>
      </c>
      <c r="L7" s="5">
        <v>5</v>
      </c>
      <c r="M7" s="3">
        <f t="shared" si="5"/>
        <v>5</v>
      </c>
      <c r="N7" s="3">
        <f t="shared" si="6"/>
        <v>87.2</v>
      </c>
      <c r="O7" s="9"/>
      <c r="P7" s="8">
        <v>1</v>
      </c>
    </row>
    <row r="8" spans="1:16" x14ac:dyDescent="0.25">
      <c r="A8" s="3">
        <v>3</v>
      </c>
      <c r="B8" s="4" t="s">
        <v>61</v>
      </c>
      <c r="C8" s="4" t="s">
        <v>62</v>
      </c>
      <c r="D8" s="3">
        <v>10</v>
      </c>
      <c r="E8" s="3">
        <f t="shared" si="0"/>
        <v>5</v>
      </c>
      <c r="F8" s="5">
        <v>15</v>
      </c>
      <c r="G8" s="3">
        <f t="shared" si="1"/>
        <v>37.5</v>
      </c>
      <c r="H8" s="3">
        <f t="shared" si="2"/>
        <v>0</v>
      </c>
      <c r="I8" s="5">
        <v>20</v>
      </c>
      <c r="J8" s="3">
        <f t="shared" si="3"/>
        <v>30</v>
      </c>
      <c r="K8" s="3">
        <f t="shared" si="4"/>
        <v>3</v>
      </c>
      <c r="L8" s="5">
        <v>7</v>
      </c>
      <c r="M8" s="3">
        <f t="shared" si="5"/>
        <v>7</v>
      </c>
      <c r="N8" s="3">
        <f t="shared" si="6"/>
        <v>82.8</v>
      </c>
      <c r="O8" s="9"/>
      <c r="P8" s="8">
        <v>0.75</v>
      </c>
    </row>
    <row r="9" spans="1:16" x14ac:dyDescent="0.25">
      <c r="A9" s="3">
        <v>4</v>
      </c>
      <c r="B9" s="4" t="s">
        <v>98</v>
      </c>
      <c r="C9" s="4" t="s">
        <v>99</v>
      </c>
      <c r="D9" s="3">
        <v>10</v>
      </c>
      <c r="E9" s="3">
        <f t="shared" si="0"/>
        <v>4</v>
      </c>
      <c r="F9" s="5">
        <v>16</v>
      </c>
      <c r="G9" s="3">
        <f t="shared" si="1"/>
        <v>40</v>
      </c>
      <c r="H9" s="3">
        <f t="shared" si="2"/>
        <v>1</v>
      </c>
      <c r="I9" s="5">
        <v>19</v>
      </c>
      <c r="J9" s="3">
        <f t="shared" si="3"/>
        <v>28.5</v>
      </c>
      <c r="K9" s="3">
        <f t="shared" si="4"/>
        <v>5</v>
      </c>
      <c r="L9" s="5">
        <v>5</v>
      </c>
      <c r="M9" s="3">
        <f t="shared" si="5"/>
        <v>5</v>
      </c>
      <c r="N9" s="3">
        <f t="shared" si="6"/>
        <v>81.7</v>
      </c>
      <c r="O9" s="9"/>
      <c r="P9" s="8">
        <v>0.75</v>
      </c>
    </row>
    <row r="10" spans="1:16" x14ac:dyDescent="0.25">
      <c r="A10" s="3">
        <v>5</v>
      </c>
      <c r="B10" s="4" t="s">
        <v>22</v>
      </c>
      <c r="C10" s="4" t="s">
        <v>23</v>
      </c>
      <c r="D10" s="3">
        <v>10</v>
      </c>
      <c r="E10" s="3">
        <f t="shared" si="0"/>
        <v>5</v>
      </c>
      <c r="F10" s="5">
        <v>15</v>
      </c>
      <c r="G10" s="3">
        <f t="shared" si="1"/>
        <v>37.5</v>
      </c>
      <c r="H10" s="3">
        <f t="shared" si="2"/>
        <v>2</v>
      </c>
      <c r="I10" s="5">
        <v>18</v>
      </c>
      <c r="J10" s="3">
        <f t="shared" si="3"/>
        <v>27</v>
      </c>
      <c r="K10" s="3">
        <f t="shared" si="4"/>
        <v>2</v>
      </c>
      <c r="L10" s="5">
        <v>8</v>
      </c>
      <c r="M10" s="3">
        <f t="shared" si="5"/>
        <v>8</v>
      </c>
      <c r="N10" s="3">
        <f t="shared" si="6"/>
        <v>80.599999999999994</v>
      </c>
      <c r="O10" s="9"/>
      <c r="P10" s="8">
        <v>0.5</v>
      </c>
    </row>
    <row r="11" spans="1:16" x14ac:dyDescent="0.25">
      <c r="A11" s="3">
        <v>6</v>
      </c>
      <c r="B11" s="4" t="s">
        <v>111</v>
      </c>
      <c r="C11" s="4" t="s">
        <v>112</v>
      </c>
      <c r="D11" s="3">
        <v>10</v>
      </c>
      <c r="E11" s="3">
        <f t="shared" si="0"/>
        <v>4</v>
      </c>
      <c r="F11" s="5">
        <v>16</v>
      </c>
      <c r="G11" s="3">
        <f t="shared" si="1"/>
        <v>40</v>
      </c>
      <c r="H11" s="3">
        <f t="shared" si="2"/>
        <v>1</v>
      </c>
      <c r="I11" s="5">
        <v>19</v>
      </c>
      <c r="J11" s="3">
        <f t="shared" si="3"/>
        <v>28.5</v>
      </c>
      <c r="K11" s="3">
        <f t="shared" si="4"/>
        <v>6</v>
      </c>
      <c r="L11" s="5">
        <v>4</v>
      </c>
      <c r="M11" s="3">
        <f t="shared" si="5"/>
        <v>4</v>
      </c>
      <c r="N11" s="3">
        <f t="shared" si="6"/>
        <v>80.599999999999994</v>
      </c>
      <c r="O11" s="9"/>
      <c r="P11" s="8">
        <v>0.5</v>
      </c>
    </row>
    <row r="12" spans="1:16" x14ac:dyDescent="0.25">
      <c r="A12" s="3">
        <v>7</v>
      </c>
      <c r="B12" s="4" t="s">
        <v>128</v>
      </c>
      <c r="C12" s="4" t="s">
        <v>127</v>
      </c>
      <c r="D12" s="3">
        <v>10</v>
      </c>
      <c r="E12" s="3">
        <f t="shared" si="0"/>
        <v>6</v>
      </c>
      <c r="F12" s="5">
        <v>14</v>
      </c>
      <c r="G12" s="3">
        <f t="shared" si="1"/>
        <v>35</v>
      </c>
      <c r="H12" s="3">
        <f t="shared" si="2"/>
        <v>0</v>
      </c>
      <c r="I12" s="5">
        <v>20</v>
      </c>
      <c r="J12" s="3">
        <f t="shared" si="3"/>
        <v>30</v>
      </c>
      <c r="K12" s="3">
        <f t="shared" si="4"/>
        <v>3</v>
      </c>
      <c r="L12" s="5">
        <v>7</v>
      </c>
      <c r="M12" s="3">
        <f t="shared" si="5"/>
        <v>7</v>
      </c>
      <c r="N12" s="3">
        <f t="shared" si="6"/>
        <v>80</v>
      </c>
      <c r="O12" s="9"/>
      <c r="P12" s="8">
        <v>0.5</v>
      </c>
    </row>
    <row r="13" spans="1:16" x14ac:dyDescent="0.25">
      <c r="A13" s="3">
        <v>8</v>
      </c>
      <c r="B13" s="4" t="s">
        <v>45</v>
      </c>
      <c r="C13" s="4" t="s">
        <v>46</v>
      </c>
      <c r="D13" s="3">
        <v>10</v>
      </c>
      <c r="E13" s="3">
        <f t="shared" si="0"/>
        <v>8</v>
      </c>
      <c r="F13" s="5">
        <v>12</v>
      </c>
      <c r="G13" s="3">
        <f t="shared" si="1"/>
        <v>30</v>
      </c>
      <c r="H13" s="3">
        <f t="shared" si="2"/>
        <v>1</v>
      </c>
      <c r="I13" s="5">
        <v>19</v>
      </c>
      <c r="J13" s="3">
        <f t="shared" si="3"/>
        <v>28.5</v>
      </c>
      <c r="K13" s="3">
        <f t="shared" si="4"/>
        <v>2</v>
      </c>
      <c r="L13" s="5">
        <v>8</v>
      </c>
      <c r="M13" s="3">
        <f t="shared" si="5"/>
        <v>8</v>
      </c>
      <c r="N13" s="3">
        <f t="shared" si="6"/>
        <v>73.900000000000006</v>
      </c>
      <c r="O13" s="9"/>
      <c r="P13" s="8">
        <v>0.3</v>
      </c>
    </row>
    <row r="14" spans="1:16" x14ac:dyDescent="0.25">
      <c r="A14" s="3">
        <v>9</v>
      </c>
      <c r="B14" s="4" t="s">
        <v>78</v>
      </c>
      <c r="C14" s="4" t="s">
        <v>79</v>
      </c>
      <c r="D14" s="3">
        <v>10</v>
      </c>
      <c r="E14" s="3">
        <f t="shared" si="0"/>
        <v>8</v>
      </c>
      <c r="F14" s="5">
        <v>12</v>
      </c>
      <c r="G14" s="3">
        <f t="shared" si="1"/>
        <v>30</v>
      </c>
      <c r="H14" s="3">
        <f t="shared" si="2"/>
        <v>1</v>
      </c>
      <c r="I14" s="5">
        <v>19</v>
      </c>
      <c r="J14" s="3">
        <f t="shared" si="3"/>
        <v>28.5</v>
      </c>
      <c r="K14" s="3">
        <f t="shared" si="4"/>
        <v>2</v>
      </c>
      <c r="L14" s="5">
        <v>8</v>
      </c>
      <c r="M14" s="3">
        <f t="shared" si="5"/>
        <v>8</v>
      </c>
      <c r="N14" s="3">
        <f t="shared" si="6"/>
        <v>73.900000000000006</v>
      </c>
      <c r="O14" s="9"/>
      <c r="P14" s="8">
        <v>0.3</v>
      </c>
    </row>
    <row r="15" spans="1:16" x14ac:dyDescent="0.25">
      <c r="A15" s="3">
        <v>10</v>
      </c>
      <c r="B15" s="4" t="s">
        <v>20</v>
      </c>
      <c r="C15" s="4" t="s">
        <v>21</v>
      </c>
      <c r="D15" s="3">
        <v>10</v>
      </c>
      <c r="E15" s="3">
        <f t="shared" si="0"/>
        <v>7</v>
      </c>
      <c r="F15" s="5">
        <v>13</v>
      </c>
      <c r="G15" s="3">
        <f t="shared" si="1"/>
        <v>32.5</v>
      </c>
      <c r="H15" s="3">
        <f t="shared" si="2"/>
        <v>1</v>
      </c>
      <c r="I15" s="5">
        <v>19</v>
      </c>
      <c r="J15" s="3">
        <f t="shared" si="3"/>
        <v>28.5</v>
      </c>
      <c r="K15" s="3">
        <f t="shared" si="4"/>
        <v>5</v>
      </c>
      <c r="L15" s="5">
        <v>5</v>
      </c>
      <c r="M15" s="3">
        <f t="shared" si="5"/>
        <v>5</v>
      </c>
      <c r="N15" s="3">
        <f t="shared" si="6"/>
        <v>73.3</v>
      </c>
      <c r="O15" s="9"/>
      <c r="P15" s="8">
        <v>0.3</v>
      </c>
    </row>
    <row r="16" spans="1:16" x14ac:dyDescent="0.25">
      <c r="A16" s="3">
        <v>11</v>
      </c>
      <c r="B16" s="4" t="s">
        <v>32</v>
      </c>
      <c r="C16" s="4" t="s">
        <v>33</v>
      </c>
      <c r="D16" s="3">
        <v>10</v>
      </c>
      <c r="E16" s="3">
        <f t="shared" si="0"/>
        <v>5</v>
      </c>
      <c r="F16" s="5">
        <v>15</v>
      </c>
      <c r="G16" s="3">
        <f t="shared" si="1"/>
        <v>37.5</v>
      </c>
      <c r="H16" s="3">
        <f t="shared" si="2"/>
        <v>4</v>
      </c>
      <c r="I16" s="5">
        <v>16</v>
      </c>
      <c r="J16" s="3">
        <f t="shared" si="3"/>
        <v>24</v>
      </c>
      <c r="K16" s="3">
        <f t="shared" si="4"/>
        <v>6</v>
      </c>
      <c r="L16" s="5">
        <v>4</v>
      </c>
      <c r="M16" s="3">
        <f t="shared" si="5"/>
        <v>4</v>
      </c>
      <c r="N16" s="3">
        <f t="shared" si="6"/>
        <v>72.8</v>
      </c>
      <c r="O16" s="9"/>
      <c r="P16" s="8">
        <v>0.3</v>
      </c>
    </row>
    <row r="17" spans="1:16" x14ac:dyDescent="0.25">
      <c r="A17" s="3">
        <v>12</v>
      </c>
      <c r="B17" s="4" t="s">
        <v>83</v>
      </c>
      <c r="C17" s="4" t="s">
        <v>84</v>
      </c>
      <c r="D17" s="3">
        <v>10</v>
      </c>
      <c r="E17" s="3">
        <f t="shared" si="0"/>
        <v>8</v>
      </c>
      <c r="F17" s="5">
        <v>12</v>
      </c>
      <c r="G17" s="3">
        <f t="shared" si="1"/>
        <v>30</v>
      </c>
      <c r="H17" s="3">
        <f t="shared" si="2"/>
        <v>1</v>
      </c>
      <c r="I17" s="5">
        <v>19</v>
      </c>
      <c r="J17" s="3">
        <f t="shared" si="3"/>
        <v>28.5</v>
      </c>
      <c r="K17" s="3">
        <f t="shared" si="4"/>
        <v>3</v>
      </c>
      <c r="L17" s="5">
        <v>7</v>
      </c>
      <c r="M17" s="3">
        <f t="shared" si="5"/>
        <v>7</v>
      </c>
      <c r="N17" s="3">
        <f t="shared" si="6"/>
        <v>72.8</v>
      </c>
      <c r="O17" s="9"/>
      <c r="P17" s="8">
        <v>0.3</v>
      </c>
    </row>
    <row r="18" spans="1:16" x14ac:dyDescent="0.25">
      <c r="A18" s="3">
        <v>13</v>
      </c>
      <c r="B18" s="4" t="s">
        <v>105</v>
      </c>
      <c r="C18" s="4" t="s">
        <v>106</v>
      </c>
      <c r="D18" s="3">
        <v>10</v>
      </c>
      <c r="E18" s="3">
        <f t="shared" si="0"/>
        <v>5</v>
      </c>
      <c r="F18" s="5">
        <v>15</v>
      </c>
      <c r="G18" s="3">
        <f t="shared" si="1"/>
        <v>37.5</v>
      </c>
      <c r="H18" s="3">
        <f t="shared" si="2"/>
        <v>3</v>
      </c>
      <c r="I18" s="5">
        <v>17</v>
      </c>
      <c r="J18" s="3">
        <f t="shared" si="3"/>
        <v>25.5</v>
      </c>
      <c r="K18" s="3">
        <f t="shared" si="4"/>
        <v>8</v>
      </c>
      <c r="L18" s="5">
        <v>2</v>
      </c>
      <c r="M18" s="3">
        <f t="shared" si="5"/>
        <v>2</v>
      </c>
      <c r="N18" s="3">
        <f t="shared" si="6"/>
        <v>72.2</v>
      </c>
      <c r="O18" s="9"/>
      <c r="P18" s="8">
        <v>0.3</v>
      </c>
    </row>
    <row r="19" spans="1:16" x14ac:dyDescent="0.25">
      <c r="A19" s="3">
        <v>14</v>
      </c>
      <c r="B19" s="4" t="s">
        <v>109</v>
      </c>
      <c r="C19" s="4" t="s">
        <v>110</v>
      </c>
      <c r="D19" s="3">
        <v>10</v>
      </c>
      <c r="E19" s="3">
        <f t="shared" si="0"/>
        <v>7</v>
      </c>
      <c r="F19" s="5">
        <v>13</v>
      </c>
      <c r="G19" s="3">
        <f t="shared" si="1"/>
        <v>32.5</v>
      </c>
      <c r="H19" s="3">
        <f t="shared" si="2"/>
        <v>1</v>
      </c>
      <c r="I19" s="5">
        <v>19</v>
      </c>
      <c r="J19" s="3">
        <f t="shared" si="3"/>
        <v>28.5</v>
      </c>
      <c r="K19" s="3">
        <f t="shared" si="4"/>
        <v>7</v>
      </c>
      <c r="L19" s="5">
        <v>3</v>
      </c>
      <c r="M19" s="3">
        <f t="shared" si="5"/>
        <v>3</v>
      </c>
      <c r="N19" s="3">
        <f t="shared" si="6"/>
        <v>71.099999999999994</v>
      </c>
      <c r="O19" s="9"/>
      <c r="P19" s="8">
        <v>0.3</v>
      </c>
    </row>
    <row r="20" spans="1:16" x14ac:dyDescent="0.25">
      <c r="A20" s="3">
        <v>15</v>
      </c>
      <c r="B20" s="4" t="s">
        <v>72</v>
      </c>
      <c r="C20" s="4" t="s">
        <v>73</v>
      </c>
      <c r="D20" s="3">
        <v>10</v>
      </c>
      <c r="E20" s="3">
        <f t="shared" si="0"/>
        <v>8</v>
      </c>
      <c r="F20" s="5">
        <v>12</v>
      </c>
      <c r="G20" s="3">
        <f t="shared" si="1"/>
        <v>30</v>
      </c>
      <c r="H20" s="3">
        <f t="shared" si="2"/>
        <v>1</v>
      </c>
      <c r="I20" s="5">
        <v>19</v>
      </c>
      <c r="J20" s="3">
        <f t="shared" si="3"/>
        <v>28.5</v>
      </c>
      <c r="K20" s="3">
        <f t="shared" si="4"/>
        <v>6</v>
      </c>
      <c r="L20" s="5">
        <v>4</v>
      </c>
      <c r="M20" s="3">
        <f t="shared" si="5"/>
        <v>4</v>
      </c>
      <c r="N20" s="3">
        <f t="shared" si="6"/>
        <v>69.400000000000006</v>
      </c>
      <c r="O20" s="9"/>
      <c r="P20" s="8">
        <v>0.3</v>
      </c>
    </row>
    <row r="21" spans="1:16" x14ac:dyDescent="0.25">
      <c r="A21" s="3">
        <v>16</v>
      </c>
      <c r="B21" s="4" t="s">
        <v>28</v>
      </c>
      <c r="C21" s="4" t="s">
        <v>29</v>
      </c>
      <c r="D21" s="3">
        <v>10</v>
      </c>
      <c r="E21" s="3">
        <f t="shared" si="0"/>
        <v>5</v>
      </c>
      <c r="F21" s="5">
        <v>15</v>
      </c>
      <c r="G21" s="3">
        <f t="shared" si="1"/>
        <v>37.5</v>
      </c>
      <c r="H21" s="3">
        <f t="shared" si="2"/>
        <v>5</v>
      </c>
      <c r="I21" s="5">
        <v>15</v>
      </c>
      <c r="J21" s="3">
        <f t="shared" si="3"/>
        <v>22.5</v>
      </c>
      <c r="K21" s="3">
        <f t="shared" si="4"/>
        <v>8</v>
      </c>
      <c r="L21" s="5">
        <v>2</v>
      </c>
      <c r="M21" s="3">
        <f t="shared" si="5"/>
        <v>2</v>
      </c>
      <c r="N21" s="3">
        <f t="shared" si="6"/>
        <v>68.900000000000006</v>
      </c>
      <c r="O21" s="9"/>
      <c r="P21" s="8">
        <v>0.3</v>
      </c>
    </row>
    <row r="22" spans="1:16" x14ac:dyDescent="0.25">
      <c r="A22" s="3">
        <v>17</v>
      </c>
      <c r="B22" s="4" t="s">
        <v>26</v>
      </c>
      <c r="C22" s="4" t="s">
        <v>27</v>
      </c>
      <c r="D22" s="3">
        <v>10</v>
      </c>
      <c r="E22" s="3">
        <f t="shared" si="0"/>
        <v>8</v>
      </c>
      <c r="F22" s="5">
        <v>12</v>
      </c>
      <c r="G22" s="3">
        <f t="shared" si="1"/>
        <v>30</v>
      </c>
      <c r="H22" s="3">
        <f t="shared" si="2"/>
        <v>1</v>
      </c>
      <c r="I22" s="5">
        <v>19</v>
      </c>
      <c r="J22" s="3">
        <f t="shared" si="3"/>
        <v>28.5</v>
      </c>
      <c r="K22" s="3">
        <f t="shared" si="4"/>
        <v>7</v>
      </c>
      <c r="L22" s="5">
        <v>3</v>
      </c>
      <c r="M22" s="3">
        <f t="shared" si="5"/>
        <v>3</v>
      </c>
      <c r="N22" s="3">
        <f t="shared" si="6"/>
        <v>68.3</v>
      </c>
      <c r="O22" s="9"/>
      <c r="P22" s="8">
        <v>0.3</v>
      </c>
    </row>
    <row r="23" spans="1:16" x14ac:dyDescent="0.25">
      <c r="A23" s="3">
        <v>18</v>
      </c>
      <c r="B23" s="4" t="s">
        <v>15</v>
      </c>
      <c r="C23" s="4" t="s">
        <v>16</v>
      </c>
      <c r="D23" s="3">
        <v>10</v>
      </c>
      <c r="E23" s="3">
        <f t="shared" si="0"/>
        <v>8</v>
      </c>
      <c r="F23" s="5">
        <v>12</v>
      </c>
      <c r="G23" s="3">
        <f t="shared" si="1"/>
        <v>30</v>
      </c>
      <c r="H23" s="3">
        <f t="shared" si="2"/>
        <v>8</v>
      </c>
      <c r="I23" s="5">
        <v>12</v>
      </c>
      <c r="J23" s="3">
        <f t="shared" si="3"/>
        <v>18</v>
      </c>
      <c r="K23" s="3">
        <f t="shared" si="4"/>
        <v>2</v>
      </c>
      <c r="L23" s="5">
        <v>8</v>
      </c>
      <c r="M23" s="3">
        <f t="shared" si="5"/>
        <v>8</v>
      </c>
      <c r="N23" s="3">
        <f t="shared" si="6"/>
        <v>62.2</v>
      </c>
      <c r="O23" s="9"/>
      <c r="P23" s="8">
        <v>0.25</v>
      </c>
    </row>
    <row r="24" spans="1:16" x14ac:dyDescent="0.25">
      <c r="A24" s="3">
        <v>19</v>
      </c>
      <c r="B24" s="4" t="s">
        <v>107</v>
      </c>
      <c r="C24" s="4" t="s">
        <v>108</v>
      </c>
      <c r="D24" s="3">
        <v>10</v>
      </c>
      <c r="E24" s="3">
        <f t="shared" si="0"/>
        <v>8</v>
      </c>
      <c r="F24" s="5">
        <v>12</v>
      </c>
      <c r="G24" s="3">
        <f t="shared" si="1"/>
        <v>30</v>
      </c>
      <c r="H24" s="3">
        <f t="shared" si="2"/>
        <v>6</v>
      </c>
      <c r="I24" s="5">
        <v>14</v>
      </c>
      <c r="J24" s="3">
        <f t="shared" si="3"/>
        <v>21</v>
      </c>
      <c r="K24" s="3">
        <f t="shared" si="4"/>
        <v>6</v>
      </c>
      <c r="L24" s="5">
        <v>4</v>
      </c>
      <c r="M24" s="3">
        <f t="shared" si="5"/>
        <v>4</v>
      </c>
      <c r="N24" s="3">
        <f t="shared" si="6"/>
        <v>61.1</v>
      </c>
      <c r="O24" s="9"/>
      <c r="P24" s="8">
        <v>0.25</v>
      </c>
    </row>
    <row r="25" spans="1:16" x14ac:dyDescent="0.25">
      <c r="A25" s="3">
        <v>20</v>
      </c>
      <c r="B25" s="4" t="s">
        <v>59</v>
      </c>
      <c r="C25" s="4" t="s">
        <v>60</v>
      </c>
      <c r="D25" s="3">
        <v>10</v>
      </c>
      <c r="E25" s="3">
        <f t="shared" si="0"/>
        <v>12</v>
      </c>
      <c r="F25" s="5">
        <v>8</v>
      </c>
      <c r="G25" s="3">
        <f t="shared" si="1"/>
        <v>20</v>
      </c>
      <c r="H25" s="3">
        <f t="shared" si="2"/>
        <v>1</v>
      </c>
      <c r="I25" s="5">
        <v>19</v>
      </c>
      <c r="J25" s="3">
        <f t="shared" si="3"/>
        <v>28.5</v>
      </c>
      <c r="K25" s="3">
        <f t="shared" si="4"/>
        <v>4</v>
      </c>
      <c r="L25" s="5">
        <v>6</v>
      </c>
      <c r="M25" s="3">
        <f t="shared" si="5"/>
        <v>6</v>
      </c>
      <c r="N25" s="3">
        <f t="shared" si="6"/>
        <v>60.6</v>
      </c>
      <c r="O25" s="9"/>
      <c r="P25" s="8">
        <v>0.25</v>
      </c>
    </row>
    <row r="26" spans="1:16" x14ac:dyDescent="0.25">
      <c r="A26" s="3">
        <v>21</v>
      </c>
      <c r="B26" s="4" t="s">
        <v>138</v>
      </c>
      <c r="C26" s="4" t="s">
        <v>119</v>
      </c>
      <c r="D26" s="3">
        <v>10</v>
      </c>
      <c r="E26" s="3">
        <f t="shared" si="0"/>
        <v>11</v>
      </c>
      <c r="F26" s="5">
        <v>9</v>
      </c>
      <c r="G26" s="3">
        <f t="shared" si="1"/>
        <v>22.5</v>
      </c>
      <c r="H26" s="3">
        <f t="shared" si="2"/>
        <v>5</v>
      </c>
      <c r="I26" s="5">
        <v>15</v>
      </c>
      <c r="J26" s="3">
        <f t="shared" si="3"/>
        <v>22.5</v>
      </c>
      <c r="K26" s="3">
        <f t="shared" si="4"/>
        <v>1</v>
      </c>
      <c r="L26" s="5">
        <v>9</v>
      </c>
      <c r="M26" s="3">
        <f t="shared" si="5"/>
        <v>9</v>
      </c>
      <c r="N26" s="3">
        <f t="shared" si="6"/>
        <v>60</v>
      </c>
      <c r="O26" s="9"/>
      <c r="P26" s="8">
        <v>0.25</v>
      </c>
    </row>
    <row r="27" spans="1:16" x14ac:dyDescent="0.25">
      <c r="A27" s="3">
        <v>22</v>
      </c>
      <c r="B27" s="4" t="s">
        <v>63</v>
      </c>
      <c r="C27" s="4" t="s">
        <v>34</v>
      </c>
      <c r="D27" s="3">
        <v>10</v>
      </c>
      <c r="E27" s="3">
        <f t="shared" si="0"/>
        <v>11</v>
      </c>
      <c r="F27" s="5">
        <v>9</v>
      </c>
      <c r="G27" s="3">
        <f t="shared" si="1"/>
        <v>22.5</v>
      </c>
      <c r="H27" s="3">
        <f t="shared" si="2"/>
        <v>1</v>
      </c>
      <c r="I27" s="5">
        <v>19</v>
      </c>
      <c r="J27" s="3">
        <f t="shared" si="3"/>
        <v>28.5</v>
      </c>
      <c r="K27" s="3">
        <f t="shared" si="4"/>
        <v>8</v>
      </c>
      <c r="L27" s="5">
        <v>2</v>
      </c>
      <c r="M27" s="3">
        <f t="shared" si="5"/>
        <v>2</v>
      </c>
      <c r="N27" s="3">
        <f t="shared" si="6"/>
        <v>58.9</v>
      </c>
      <c r="O27" s="9"/>
      <c r="P27" s="8">
        <v>0.25</v>
      </c>
    </row>
    <row r="28" spans="1:16" x14ac:dyDescent="0.25">
      <c r="A28" s="3">
        <v>23</v>
      </c>
      <c r="B28" s="4" t="s">
        <v>91</v>
      </c>
      <c r="C28" s="4" t="s">
        <v>92</v>
      </c>
      <c r="D28" s="3">
        <v>10</v>
      </c>
      <c r="E28" s="3">
        <f t="shared" si="0"/>
        <v>13</v>
      </c>
      <c r="F28" s="5">
        <v>7</v>
      </c>
      <c r="G28" s="3">
        <f t="shared" si="1"/>
        <v>17.5</v>
      </c>
      <c r="H28" s="3">
        <f t="shared" si="2"/>
        <v>0</v>
      </c>
      <c r="I28" s="5">
        <v>20</v>
      </c>
      <c r="J28" s="3">
        <f t="shared" si="3"/>
        <v>30</v>
      </c>
      <c r="K28" s="3">
        <f t="shared" si="4"/>
        <v>5</v>
      </c>
      <c r="L28" s="5">
        <v>5</v>
      </c>
      <c r="M28" s="3">
        <f t="shared" si="5"/>
        <v>5</v>
      </c>
      <c r="N28" s="3">
        <f t="shared" si="6"/>
        <v>58.3</v>
      </c>
      <c r="O28" s="9"/>
      <c r="P28" s="8">
        <v>0.25</v>
      </c>
    </row>
    <row r="29" spans="1:16" x14ac:dyDescent="0.25">
      <c r="A29" s="3">
        <v>24</v>
      </c>
      <c r="B29" s="4" t="s">
        <v>120</v>
      </c>
      <c r="C29" s="4" t="s">
        <v>121</v>
      </c>
      <c r="D29" s="3">
        <v>10</v>
      </c>
      <c r="E29" s="3">
        <f t="shared" si="0"/>
        <v>13</v>
      </c>
      <c r="F29" s="5">
        <v>7</v>
      </c>
      <c r="G29" s="3">
        <f t="shared" si="1"/>
        <v>17.5</v>
      </c>
      <c r="H29" s="3">
        <f t="shared" si="2"/>
        <v>0</v>
      </c>
      <c r="I29" s="5">
        <v>20</v>
      </c>
      <c r="J29" s="3">
        <f t="shared" si="3"/>
        <v>30</v>
      </c>
      <c r="K29" s="3">
        <f t="shared" si="4"/>
        <v>5</v>
      </c>
      <c r="L29" s="5">
        <v>5</v>
      </c>
      <c r="M29" s="3">
        <f t="shared" si="5"/>
        <v>5</v>
      </c>
      <c r="N29" s="3">
        <f t="shared" si="6"/>
        <v>58.3</v>
      </c>
      <c r="O29" s="9"/>
      <c r="P29" s="8">
        <v>0.25</v>
      </c>
    </row>
    <row r="30" spans="1:16" x14ac:dyDescent="0.25">
      <c r="A30" s="3">
        <v>25</v>
      </c>
      <c r="B30" s="4" t="s">
        <v>87</v>
      </c>
      <c r="C30" s="4" t="s">
        <v>88</v>
      </c>
      <c r="D30" s="3">
        <v>10</v>
      </c>
      <c r="E30" s="3">
        <f t="shared" si="0"/>
        <v>11</v>
      </c>
      <c r="F30" s="5">
        <v>9</v>
      </c>
      <c r="G30" s="3">
        <f t="shared" si="1"/>
        <v>22.5</v>
      </c>
      <c r="H30" s="3">
        <f t="shared" si="2"/>
        <v>3</v>
      </c>
      <c r="I30" s="5">
        <v>17</v>
      </c>
      <c r="J30" s="3">
        <f t="shared" si="3"/>
        <v>25.5</v>
      </c>
      <c r="K30" s="3">
        <f t="shared" si="4"/>
        <v>6</v>
      </c>
      <c r="L30" s="5">
        <v>4</v>
      </c>
      <c r="M30" s="3">
        <f t="shared" si="5"/>
        <v>4</v>
      </c>
      <c r="N30" s="3">
        <f t="shared" si="6"/>
        <v>57.8</v>
      </c>
      <c r="O30" s="9"/>
      <c r="P30" s="8">
        <v>0.25</v>
      </c>
    </row>
    <row r="31" spans="1:16" x14ac:dyDescent="0.25">
      <c r="A31" s="3">
        <v>26</v>
      </c>
      <c r="B31" s="4" t="s">
        <v>135</v>
      </c>
      <c r="C31" s="4" t="s">
        <v>136</v>
      </c>
      <c r="D31" s="3">
        <v>10</v>
      </c>
      <c r="E31" s="3">
        <f t="shared" si="0"/>
        <v>13</v>
      </c>
      <c r="F31" s="5">
        <v>7</v>
      </c>
      <c r="G31" s="3">
        <f t="shared" si="1"/>
        <v>17.5</v>
      </c>
      <c r="H31" s="3">
        <f t="shared" si="2"/>
        <v>1</v>
      </c>
      <c r="I31" s="5">
        <v>19</v>
      </c>
      <c r="J31" s="3">
        <f t="shared" si="3"/>
        <v>28.5</v>
      </c>
      <c r="K31" s="3">
        <f t="shared" si="4"/>
        <v>5</v>
      </c>
      <c r="L31" s="5">
        <v>5</v>
      </c>
      <c r="M31" s="3">
        <f t="shared" si="5"/>
        <v>5</v>
      </c>
      <c r="N31" s="3">
        <f t="shared" si="6"/>
        <v>56.7</v>
      </c>
      <c r="O31" s="9"/>
      <c r="P31" s="8">
        <v>0.25</v>
      </c>
    </row>
    <row r="32" spans="1:16" x14ac:dyDescent="0.25">
      <c r="A32" s="3">
        <v>27</v>
      </c>
      <c r="B32" s="4" t="s">
        <v>131</v>
      </c>
      <c r="C32" s="4" t="s">
        <v>132</v>
      </c>
      <c r="D32" s="3">
        <v>10</v>
      </c>
      <c r="E32" s="3">
        <f t="shared" si="0"/>
        <v>12</v>
      </c>
      <c r="F32" s="5">
        <v>8</v>
      </c>
      <c r="G32" s="3">
        <f t="shared" si="1"/>
        <v>20</v>
      </c>
      <c r="H32" s="3">
        <f t="shared" si="2"/>
        <v>5</v>
      </c>
      <c r="I32" s="5">
        <v>15</v>
      </c>
      <c r="J32" s="3">
        <f t="shared" si="3"/>
        <v>22.5</v>
      </c>
      <c r="K32" s="3">
        <f t="shared" si="4"/>
        <v>2</v>
      </c>
      <c r="L32" s="5">
        <v>8</v>
      </c>
      <c r="M32" s="3">
        <f t="shared" si="5"/>
        <v>8</v>
      </c>
      <c r="N32" s="3">
        <f t="shared" si="6"/>
        <v>56.1</v>
      </c>
      <c r="O32" s="9"/>
      <c r="P32" s="8">
        <v>0.25</v>
      </c>
    </row>
    <row r="33" spans="1:16" x14ac:dyDescent="0.25">
      <c r="A33" s="3">
        <v>28</v>
      </c>
      <c r="B33" s="4" t="s">
        <v>17</v>
      </c>
      <c r="C33" s="4" t="s">
        <v>18</v>
      </c>
      <c r="D33" s="3">
        <v>10</v>
      </c>
      <c r="E33" s="3">
        <f t="shared" si="0"/>
        <v>14</v>
      </c>
      <c r="F33" s="5">
        <v>6</v>
      </c>
      <c r="G33" s="3">
        <f t="shared" si="1"/>
        <v>15</v>
      </c>
      <c r="H33" s="3">
        <f t="shared" si="2"/>
        <v>0</v>
      </c>
      <c r="I33" s="5">
        <v>20</v>
      </c>
      <c r="J33" s="3">
        <f t="shared" si="3"/>
        <v>30</v>
      </c>
      <c r="K33" s="3">
        <f t="shared" si="4"/>
        <v>5</v>
      </c>
      <c r="L33" s="5">
        <v>5</v>
      </c>
      <c r="M33" s="3">
        <f t="shared" si="5"/>
        <v>5</v>
      </c>
      <c r="N33" s="3">
        <f t="shared" si="6"/>
        <v>55.6</v>
      </c>
      <c r="O33" s="9"/>
      <c r="P33" s="8">
        <v>0.25</v>
      </c>
    </row>
    <row r="34" spans="1:16" x14ac:dyDescent="0.25">
      <c r="A34" s="3">
        <v>29</v>
      </c>
      <c r="B34" s="4" t="s">
        <v>40</v>
      </c>
      <c r="C34" s="4" t="s">
        <v>42</v>
      </c>
      <c r="D34" s="3">
        <v>10</v>
      </c>
      <c r="E34" s="3">
        <f t="shared" si="0"/>
        <v>14</v>
      </c>
      <c r="F34" s="5">
        <v>6</v>
      </c>
      <c r="G34" s="3">
        <f t="shared" si="1"/>
        <v>15</v>
      </c>
      <c r="H34" s="3">
        <f t="shared" si="2"/>
        <v>0</v>
      </c>
      <c r="I34" s="5">
        <v>20</v>
      </c>
      <c r="J34" s="3">
        <f t="shared" si="3"/>
        <v>30</v>
      </c>
      <c r="K34" s="3">
        <f t="shared" si="4"/>
        <v>5</v>
      </c>
      <c r="L34" s="5">
        <v>5</v>
      </c>
      <c r="M34" s="3">
        <f t="shared" si="5"/>
        <v>5</v>
      </c>
      <c r="N34" s="3">
        <f t="shared" si="6"/>
        <v>55.6</v>
      </c>
      <c r="O34" s="9"/>
      <c r="P34" s="8">
        <v>0.25</v>
      </c>
    </row>
    <row r="35" spans="1:16" x14ac:dyDescent="0.25">
      <c r="A35" s="3">
        <v>30</v>
      </c>
      <c r="B35" s="4" t="s">
        <v>134</v>
      </c>
      <c r="C35" s="4" t="s">
        <v>133</v>
      </c>
      <c r="D35" s="3">
        <v>10</v>
      </c>
      <c r="E35" s="3">
        <f t="shared" si="0"/>
        <v>12</v>
      </c>
      <c r="F35" s="5">
        <v>8</v>
      </c>
      <c r="G35" s="3">
        <f t="shared" si="1"/>
        <v>20</v>
      </c>
      <c r="H35" s="3">
        <f t="shared" si="2"/>
        <v>3</v>
      </c>
      <c r="I35" s="5">
        <v>17</v>
      </c>
      <c r="J35" s="3">
        <f t="shared" si="3"/>
        <v>25.5</v>
      </c>
      <c r="K35" s="3">
        <f t="shared" si="4"/>
        <v>6</v>
      </c>
      <c r="L35" s="5">
        <v>4</v>
      </c>
      <c r="M35" s="3">
        <f t="shared" si="5"/>
        <v>4</v>
      </c>
      <c r="N35" s="3">
        <f t="shared" si="6"/>
        <v>55</v>
      </c>
      <c r="O35" s="9"/>
      <c r="P35" s="8">
        <v>0.25</v>
      </c>
    </row>
    <row r="36" spans="1:16" x14ac:dyDescent="0.25">
      <c r="A36" s="3">
        <v>31</v>
      </c>
      <c r="B36" s="4" t="s">
        <v>118</v>
      </c>
      <c r="C36" s="4" t="s">
        <v>119</v>
      </c>
      <c r="D36" s="3">
        <v>10</v>
      </c>
      <c r="E36" s="3">
        <f t="shared" si="0"/>
        <v>13</v>
      </c>
      <c r="F36" s="5">
        <v>7</v>
      </c>
      <c r="G36" s="3">
        <f t="shared" si="1"/>
        <v>17.5</v>
      </c>
      <c r="H36" s="3">
        <f t="shared" si="2"/>
        <v>2</v>
      </c>
      <c r="I36" s="5">
        <v>18</v>
      </c>
      <c r="J36" s="3">
        <f t="shared" si="3"/>
        <v>27</v>
      </c>
      <c r="K36" s="3">
        <f t="shared" si="4"/>
        <v>6</v>
      </c>
      <c r="L36" s="5">
        <v>4</v>
      </c>
      <c r="M36" s="3">
        <f t="shared" si="5"/>
        <v>4</v>
      </c>
      <c r="N36" s="3">
        <f t="shared" si="6"/>
        <v>53.9</v>
      </c>
      <c r="O36" s="9"/>
      <c r="P36" s="8">
        <v>0.25</v>
      </c>
    </row>
    <row r="37" spans="1:16" x14ac:dyDescent="0.25">
      <c r="A37" s="3">
        <v>32</v>
      </c>
      <c r="B37" s="4" t="s">
        <v>19</v>
      </c>
      <c r="C37" s="4" t="s">
        <v>117</v>
      </c>
      <c r="D37" s="3">
        <v>10</v>
      </c>
      <c r="E37" s="3">
        <f t="shared" si="0"/>
        <v>14</v>
      </c>
      <c r="F37" s="5">
        <v>6</v>
      </c>
      <c r="G37" s="3">
        <f t="shared" si="1"/>
        <v>15</v>
      </c>
      <c r="H37" s="3">
        <f t="shared" si="2"/>
        <v>2</v>
      </c>
      <c r="I37" s="5">
        <v>18</v>
      </c>
      <c r="J37" s="3">
        <f t="shared" si="3"/>
        <v>27</v>
      </c>
      <c r="K37" s="3">
        <f t="shared" si="4"/>
        <v>4</v>
      </c>
      <c r="L37" s="5">
        <v>6</v>
      </c>
      <c r="M37" s="3">
        <f t="shared" si="5"/>
        <v>6</v>
      </c>
      <c r="N37" s="3">
        <f t="shared" si="6"/>
        <v>53.3</v>
      </c>
      <c r="O37" s="9"/>
      <c r="P37" s="8">
        <v>0.25</v>
      </c>
    </row>
    <row r="38" spans="1:16" x14ac:dyDescent="0.25">
      <c r="A38" s="3">
        <v>33</v>
      </c>
      <c r="B38" s="4" t="s">
        <v>37</v>
      </c>
      <c r="C38" s="4" t="s">
        <v>38</v>
      </c>
      <c r="D38" s="3">
        <v>10</v>
      </c>
      <c r="E38" s="3">
        <f t="shared" ref="E38:E72" si="7">20-F38</f>
        <v>12</v>
      </c>
      <c r="F38" s="5">
        <v>8</v>
      </c>
      <c r="G38" s="3">
        <f t="shared" ref="G38:G72" si="8">IF(L38="","",F38*2.5)</f>
        <v>20</v>
      </c>
      <c r="H38" s="3">
        <f t="shared" ref="H38:H72" si="9">20-I38</f>
        <v>2</v>
      </c>
      <c r="I38" s="5">
        <v>18</v>
      </c>
      <c r="J38" s="3">
        <f t="shared" ref="J38:J72" si="10">IF(L38="","",I38*1.5)</f>
        <v>27</v>
      </c>
      <c r="K38" s="3">
        <f t="shared" ref="K38:K72" si="11">10-L38</f>
        <v>9</v>
      </c>
      <c r="L38" s="5">
        <v>1</v>
      </c>
      <c r="M38" s="3">
        <f t="shared" ref="M38:M72" si="12">IF(L38="","",L38*1)</f>
        <v>1</v>
      </c>
      <c r="N38" s="3">
        <f t="shared" ref="N38:N72" si="13">ROUND(((G38+J38+M38)/90)*100,1)</f>
        <v>53.3</v>
      </c>
      <c r="O38" s="9"/>
      <c r="P38" s="8">
        <v>0.25</v>
      </c>
    </row>
    <row r="39" spans="1:16" x14ac:dyDescent="0.25">
      <c r="A39" s="3">
        <v>34</v>
      </c>
      <c r="B39" s="4" t="s">
        <v>40</v>
      </c>
      <c r="C39" s="4" t="s">
        <v>41</v>
      </c>
      <c r="D39" s="3">
        <v>10</v>
      </c>
      <c r="E39" s="3">
        <f t="shared" si="7"/>
        <v>11</v>
      </c>
      <c r="F39" s="5">
        <v>9</v>
      </c>
      <c r="G39" s="3">
        <f t="shared" si="8"/>
        <v>22.5</v>
      </c>
      <c r="H39" s="3">
        <f t="shared" si="9"/>
        <v>5</v>
      </c>
      <c r="I39" s="5">
        <v>15</v>
      </c>
      <c r="J39" s="3">
        <f t="shared" si="10"/>
        <v>22.5</v>
      </c>
      <c r="K39" s="3">
        <f t="shared" si="11"/>
        <v>7</v>
      </c>
      <c r="L39" s="5">
        <v>3</v>
      </c>
      <c r="M39" s="3">
        <f t="shared" si="12"/>
        <v>3</v>
      </c>
      <c r="N39" s="3">
        <f t="shared" si="13"/>
        <v>53.3</v>
      </c>
      <c r="O39" s="9"/>
      <c r="P39" s="8">
        <v>0.25</v>
      </c>
    </row>
    <row r="40" spans="1:16" x14ac:dyDescent="0.25">
      <c r="A40" s="3">
        <v>35</v>
      </c>
      <c r="B40" s="4" t="s">
        <v>89</v>
      </c>
      <c r="C40" s="4" t="s">
        <v>90</v>
      </c>
      <c r="D40" s="3">
        <v>10</v>
      </c>
      <c r="E40" s="3">
        <f t="shared" si="7"/>
        <v>13</v>
      </c>
      <c r="F40" s="5">
        <v>7</v>
      </c>
      <c r="G40" s="3">
        <f t="shared" si="8"/>
        <v>17.5</v>
      </c>
      <c r="H40" s="3">
        <f t="shared" si="9"/>
        <v>3</v>
      </c>
      <c r="I40" s="5">
        <v>17</v>
      </c>
      <c r="J40" s="3">
        <f t="shared" si="10"/>
        <v>25.5</v>
      </c>
      <c r="K40" s="3">
        <f t="shared" si="11"/>
        <v>5</v>
      </c>
      <c r="L40" s="5">
        <v>5</v>
      </c>
      <c r="M40" s="3">
        <f t="shared" si="12"/>
        <v>5</v>
      </c>
      <c r="N40" s="3">
        <f t="shared" si="13"/>
        <v>53.3</v>
      </c>
      <c r="O40" s="9"/>
      <c r="P40" s="8">
        <v>0.25</v>
      </c>
    </row>
    <row r="41" spans="1:16" x14ac:dyDescent="0.25">
      <c r="A41" s="3">
        <v>36</v>
      </c>
      <c r="B41" s="4" t="s">
        <v>94</v>
      </c>
      <c r="C41" s="4" t="s">
        <v>95</v>
      </c>
      <c r="D41" s="3">
        <v>10</v>
      </c>
      <c r="E41" s="3">
        <f t="shared" si="7"/>
        <v>10</v>
      </c>
      <c r="F41" s="5">
        <v>10</v>
      </c>
      <c r="G41" s="3">
        <f t="shared" si="8"/>
        <v>25</v>
      </c>
      <c r="H41" s="3">
        <f t="shared" si="9"/>
        <v>8</v>
      </c>
      <c r="I41" s="5">
        <v>12</v>
      </c>
      <c r="J41" s="3">
        <f t="shared" si="10"/>
        <v>18</v>
      </c>
      <c r="K41" s="3">
        <f t="shared" si="11"/>
        <v>5</v>
      </c>
      <c r="L41" s="5">
        <v>5</v>
      </c>
      <c r="M41" s="3">
        <f t="shared" si="12"/>
        <v>5</v>
      </c>
      <c r="N41" s="3">
        <f t="shared" si="13"/>
        <v>53.3</v>
      </c>
      <c r="O41" s="9"/>
      <c r="P41" s="8">
        <v>0.25</v>
      </c>
    </row>
    <row r="42" spans="1:16" x14ac:dyDescent="0.25">
      <c r="A42" s="3">
        <v>37</v>
      </c>
      <c r="B42" s="4" t="s">
        <v>57</v>
      </c>
      <c r="C42" s="4" t="s">
        <v>137</v>
      </c>
      <c r="D42" s="3">
        <v>10</v>
      </c>
      <c r="E42" s="3">
        <f t="shared" si="7"/>
        <v>12</v>
      </c>
      <c r="F42" s="5">
        <v>8</v>
      </c>
      <c r="G42" s="3">
        <f t="shared" si="8"/>
        <v>20</v>
      </c>
      <c r="H42" s="3">
        <f t="shared" si="9"/>
        <v>6</v>
      </c>
      <c r="I42" s="5">
        <v>14</v>
      </c>
      <c r="J42" s="3">
        <f t="shared" si="10"/>
        <v>21</v>
      </c>
      <c r="K42" s="3">
        <f t="shared" si="11"/>
        <v>4</v>
      </c>
      <c r="L42" s="5">
        <v>6</v>
      </c>
      <c r="M42" s="3">
        <f t="shared" si="12"/>
        <v>6</v>
      </c>
      <c r="N42" s="3">
        <f t="shared" si="13"/>
        <v>52.2</v>
      </c>
      <c r="O42" s="9"/>
      <c r="P42" s="8">
        <v>0.25</v>
      </c>
    </row>
    <row r="43" spans="1:16" x14ac:dyDescent="0.25">
      <c r="A43" s="3">
        <v>38</v>
      </c>
      <c r="B43" s="4" t="s">
        <v>47</v>
      </c>
      <c r="C43" s="4" t="s">
        <v>48</v>
      </c>
      <c r="D43" s="3">
        <v>10</v>
      </c>
      <c r="E43" s="3">
        <f t="shared" si="7"/>
        <v>14</v>
      </c>
      <c r="F43" s="5">
        <v>6</v>
      </c>
      <c r="G43" s="3">
        <f t="shared" si="8"/>
        <v>15</v>
      </c>
      <c r="H43" s="3">
        <f t="shared" si="9"/>
        <v>2</v>
      </c>
      <c r="I43" s="5">
        <v>18</v>
      </c>
      <c r="J43" s="3">
        <f t="shared" si="10"/>
        <v>27</v>
      </c>
      <c r="K43" s="3">
        <f t="shared" si="11"/>
        <v>6</v>
      </c>
      <c r="L43" s="5">
        <v>4</v>
      </c>
      <c r="M43" s="3">
        <f t="shared" si="12"/>
        <v>4</v>
      </c>
      <c r="N43" s="3">
        <f t="shared" si="13"/>
        <v>51.1</v>
      </c>
      <c r="O43" s="9"/>
      <c r="P43" s="8">
        <v>0.25</v>
      </c>
    </row>
    <row r="44" spans="1:16" x14ac:dyDescent="0.25">
      <c r="A44" s="3">
        <v>39</v>
      </c>
      <c r="B44" s="4" t="s">
        <v>43</v>
      </c>
      <c r="C44" s="4" t="s">
        <v>44</v>
      </c>
      <c r="D44" s="3">
        <v>10</v>
      </c>
      <c r="E44" s="3">
        <f t="shared" si="7"/>
        <v>12</v>
      </c>
      <c r="F44" s="5">
        <v>8</v>
      </c>
      <c r="G44" s="3">
        <f t="shared" si="8"/>
        <v>20</v>
      </c>
      <c r="H44" s="3">
        <f t="shared" si="9"/>
        <v>4</v>
      </c>
      <c r="I44" s="5">
        <v>16</v>
      </c>
      <c r="J44" s="3">
        <f t="shared" si="10"/>
        <v>24</v>
      </c>
      <c r="K44" s="3">
        <f t="shared" si="11"/>
        <v>9</v>
      </c>
      <c r="L44" s="5">
        <v>1</v>
      </c>
      <c r="M44" s="3">
        <f t="shared" si="12"/>
        <v>1</v>
      </c>
      <c r="N44" s="3">
        <f t="shared" si="13"/>
        <v>50</v>
      </c>
      <c r="O44" s="9"/>
      <c r="P44" s="8">
        <v>0.25</v>
      </c>
    </row>
    <row r="45" spans="1:16" x14ac:dyDescent="0.25">
      <c r="A45" s="3">
        <v>40</v>
      </c>
      <c r="B45" s="4" t="s">
        <v>55</v>
      </c>
      <c r="C45" s="4" t="s">
        <v>56</v>
      </c>
      <c r="D45" s="3">
        <v>10</v>
      </c>
      <c r="E45" s="3">
        <f t="shared" si="7"/>
        <v>13</v>
      </c>
      <c r="F45" s="5">
        <v>7</v>
      </c>
      <c r="G45" s="3">
        <f t="shared" si="8"/>
        <v>17.5</v>
      </c>
      <c r="H45" s="3">
        <f t="shared" si="9"/>
        <v>6</v>
      </c>
      <c r="I45" s="5">
        <v>14</v>
      </c>
      <c r="J45" s="3">
        <f t="shared" si="10"/>
        <v>21</v>
      </c>
      <c r="K45" s="3">
        <f t="shared" si="11"/>
        <v>4</v>
      </c>
      <c r="L45" s="5">
        <v>6</v>
      </c>
      <c r="M45" s="3">
        <f t="shared" si="12"/>
        <v>6</v>
      </c>
      <c r="N45" s="3">
        <f t="shared" si="13"/>
        <v>49.4</v>
      </c>
      <c r="O45" s="9"/>
      <c r="P45" s="8">
        <v>0.2</v>
      </c>
    </row>
    <row r="46" spans="1:16" x14ac:dyDescent="0.25">
      <c r="A46" s="3">
        <v>41</v>
      </c>
      <c r="B46" s="4" t="s">
        <v>76</v>
      </c>
      <c r="C46" s="4" t="s">
        <v>77</v>
      </c>
      <c r="D46" s="3">
        <v>10</v>
      </c>
      <c r="E46" s="3">
        <f t="shared" si="7"/>
        <v>13</v>
      </c>
      <c r="F46" s="5">
        <v>7</v>
      </c>
      <c r="G46" s="3">
        <f t="shared" si="8"/>
        <v>17.5</v>
      </c>
      <c r="H46" s="3">
        <f t="shared" si="9"/>
        <v>7</v>
      </c>
      <c r="I46" s="5">
        <v>13</v>
      </c>
      <c r="J46" s="3">
        <f t="shared" si="10"/>
        <v>19.5</v>
      </c>
      <c r="K46" s="3">
        <f t="shared" si="11"/>
        <v>3</v>
      </c>
      <c r="L46" s="5">
        <v>7</v>
      </c>
      <c r="M46" s="3">
        <f t="shared" si="12"/>
        <v>7</v>
      </c>
      <c r="N46" s="3">
        <f t="shared" si="13"/>
        <v>48.9</v>
      </c>
      <c r="O46" s="9"/>
      <c r="P46" s="8">
        <v>0.2</v>
      </c>
    </row>
    <row r="47" spans="1:16" x14ac:dyDescent="0.25">
      <c r="A47" s="3">
        <v>42</v>
      </c>
      <c r="B47" s="4" t="s">
        <v>49</v>
      </c>
      <c r="C47" s="4" t="s">
        <v>50</v>
      </c>
      <c r="D47" s="3">
        <v>10</v>
      </c>
      <c r="E47" s="3">
        <f t="shared" si="7"/>
        <v>12</v>
      </c>
      <c r="F47" s="5">
        <v>8</v>
      </c>
      <c r="G47" s="3">
        <f t="shared" si="8"/>
        <v>20</v>
      </c>
      <c r="H47" s="3">
        <f t="shared" si="9"/>
        <v>9</v>
      </c>
      <c r="I47" s="5">
        <v>11</v>
      </c>
      <c r="J47" s="3">
        <f t="shared" si="10"/>
        <v>16.5</v>
      </c>
      <c r="K47" s="3">
        <f t="shared" si="11"/>
        <v>5</v>
      </c>
      <c r="L47" s="5">
        <v>5</v>
      </c>
      <c r="M47" s="3">
        <f t="shared" si="12"/>
        <v>5</v>
      </c>
      <c r="N47" s="3">
        <f t="shared" si="13"/>
        <v>46.1</v>
      </c>
      <c r="O47" s="9"/>
      <c r="P47" s="8">
        <v>0.2</v>
      </c>
    </row>
    <row r="48" spans="1:16" x14ac:dyDescent="0.25">
      <c r="A48" s="3">
        <v>43</v>
      </c>
      <c r="B48" s="4" t="s">
        <v>103</v>
      </c>
      <c r="C48" s="4" t="s">
        <v>104</v>
      </c>
      <c r="D48" s="3">
        <v>10</v>
      </c>
      <c r="E48" s="3">
        <f t="shared" si="7"/>
        <v>15</v>
      </c>
      <c r="F48" s="5">
        <v>5</v>
      </c>
      <c r="G48" s="3">
        <f t="shared" si="8"/>
        <v>12.5</v>
      </c>
      <c r="H48" s="3">
        <f t="shared" si="9"/>
        <v>2</v>
      </c>
      <c r="I48" s="5">
        <v>18</v>
      </c>
      <c r="J48" s="3">
        <f t="shared" si="10"/>
        <v>27</v>
      </c>
      <c r="K48" s="3">
        <f t="shared" si="11"/>
        <v>8</v>
      </c>
      <c r="L48" s="5">
        <v>2</v>
      </c>
      <c r="M48" s="3">
        <f t="shared" si="12"/>
        <v>2</v>
      </c>
      <c r="N48" s="3">
        <f t="shared" si="13"/>
        <v>46.1</v>
      </c>
      <c r="O48" s="9"/>
      <c r="P48" s="8">
        <v>0.2</v>
      </c>
    </row>
    <row r="49" spans="1:16" x14ac:dyDescent="0.25">
      <c r="A49" s="3">
        <v>44</v>
      </c>
      <c r="B49" s="4" t="s">
        <v>130</v>
      </c>
      <c r="C49" s="4" t="s">
        <v>96</v>
      </c>
      <c r="D49" s="3">
        <v>10</v>
      </c>
      <c r="E49" s="3">
        <f t="shared" si="7"/>
        <v>13</v>
      </c>
      <c r="F49" s="5">
        <v>7</v>
      </c>
      <c r="G49" s="3">
        <f t="shared" si="8"/>
        <v>17.5</v>
      </c>
      <c r="H49" s="3">
        <f t="shared" si="9"/>
        <v>6</v>
      </c>
      <c r="I49" s="5">
        <v>14</v>
      </c>
      <c r="J49" s="3">
        <f t="shared" si="10"/>
        <v>21</v>
      </c>
      <c r="K49" s="3">
        <f t="shared" si="11"/>
        <v>8</v>
      </c>
      <c r="L49" s="5">
        <v>2</v>
      </c>
      <c r="M49" s="3">
        <f t="shared" si="12"/>
        <v>2</v>
      </c>
      <c r="N49" s="3">
        <f t="shared" si="13"/>
        <v>45</v>
      </c>
      <c r="O49" s="9"/>
      <c r="P49" s="8">
        <v>0.2</v>
      </c>
    </row>
    <row r="50" spans="1:16" x14ac:dyDescent="0.25">
      <c r="A50" s="3">
        <v>45</v>
      </c>
      <c r="B50" s="4" t="s">
        <v>100</v>
      </c>
      <c r="C50" s="4" t="s">
        <v>101</v>
      </c>
      <c r="D50" s="3">
        <v>10</v>
      </c>
      <c r="E50" s="3">
        <f t="shared" si="7"/>
        <v>16</v>
      </c>
      <c r="F50" s="5">
        <v>4</v>
      </c>
      <c r="G50" s="3">
        <f t="shared" si="8"/>
        <v>10</v>
      </c>
      <c r="H50" s="3">
        <f t="shared" si="9"/>
        <v>3</v>
      </c>
      <c r="I50" s="5">
        <v>17</v>
      </c>
      <c r="J50" s="3">
        <f t="shared" si="10"/>
        <v>25.5</v>
      </c>
      <c r="K50" s="3">
        <f t="shared" si="11"/>
        <v>5</v>
      </c>
      <c r="L50" s="5">
        <v>5</v>
      </c>
      <c r="M50" s="3">
        <f t="shared" si="12"/>
        <v>5</v>
      </c>
      <c r="N50" s="3">
        <f t="shared" si="13"/>
        <v>45</v>
      </c>
      <c r="O50" s="9"/>
      <c r="P50" s="8">
        <v>0.2</v>
      </c>
    </row>
    <row r="51" spans="1:16" x14ac:dyDescent="0.25">
      <c r="A51" s="3">
        <v>46</v>
      </c>
      <c r="B51" s="4" t="s">
        <v>115</v>
      </c>
      <c r="C51" s="4" t="s">
        <v>116</v>
      </c>
      <c r="D51" s="3">
        <v>10</v>
      </c>
      <c r="E51" s="3">
        <f t="shared" si="7"/>
        <v>15</v>
      </c>
      <c r="F51" s="5">
        <v>5</v>
      </c>
      <c r="G51" s="3">
        <f t="shared" si="8"/>
        <v>12.5</v>
      </c>
      <c r="H51" s="3">
        <f t="shared" si="9"/>
        <v>4</v>
      </c>
      <c r="I51" s="5">
        <v>16</v>
      </c>
      <c r="J51" s="3">
        <f t="shared" si="10"/>
        <v>24</v>
      </c>
      <c r="K51" s="3">
        <f t="shared" si="11"/>
        <v>7</v>
      </c>
      <c r="L51" s="5">
        <v>3</v>
      </c>
      <c r="M51" s="3">
        <f t="shared" si="12"/>
        <v>3</v>
      </c>
      <c r="N51" s="3">
        <f t="shared" si="13"/>
        <v>43.9</v>
      </c>
      <c r="O51" s="9"/>
      <c r="P51" s="8">
        <v>0.2</v>
      </c>
    </row>
    <row r="52" spans="1:16" x14ac:dyDescent="0.25">
      <c r="A52" s="3">
        <v>47</v>
      </c>
      <c r="B52" s="4" t="s">
        <v>66</v>
      </c>
      <c r="C52" s="4" t="s">
        <v>67</v>
      </c>
      <c r="D52" s="3">
        <v>10</v>
      </c>
      <c r="E52" s="3">
        <f t="shared" si="7"/>
        <v>15</v>
      </c>
      <c r="F52" s="5">
        <v>5</v>
      </c>
      <c r="G52" s="3">
        <f t="shared" si="8"/>
        <v>12.5</v>
      </c>
      <c r="H52" s="3">
        <f t="shared" si="9"/>
        <v>4</v>
      </c>
      <c r="I52" s="5">
        <v>16</v>
      </c>
      <c r="J52" s="3">
        <f t="shared" si="10"/>
        <v>24</v>
      </c>
      <c r="K52" s="3">
        <f t="shared" si="11"/>
        <v>8</v>
      </c>
      <c r="L52" s="5">
        <v>2</v>
      </c>
      <c r="M52" s="3">
        <f t="shared" si="12"/>
        <v>2</v>
      </c>
      <c r="N52" s="3">
        <f t="shared" si="13"/>
        <v>42.8</v>
      </c>
      <c r="O52" s="9"/>
      <c r="P52" s="8">
        <v>0.2</v>
      </c>
    </row>
    <row r="53" spans="1:16" x14ac:dyDescent="0.25">
      <c r="A53" s="3">
        <v>48</v>
      </c>
      <c r="B53" s="4" t="s">
        <v>81</v>
      </c>
      <c r="C53" s="4" t="s">
        <v>82</v>
      </c>
      <c r="D53" s="3">
        <v>10</v>
      </c>
      <c r="E53" s="3">
        <f t="shared" si="7"/>
        <v>15</v>
      </c>
      <c r="F53" s="5">
        <v>5</v>
      </c>
      <c r="G53" s="3">
        <f t="shared" si="8"/>
        <v>12.5</v>
      </c>
      <c r="H53" s="3">
        <f t="shared" si="9"/>
        <v>8</v>
      </c>
      <c r="I53" s="5">
        <v>12</v>
      </c>
      <c r="J53" s="3">
        <f t="shared" si="10"/>
        <v>18</v>
      </c>
      <c r="K53" s="3">
        <f t="shared" si="11"/>
        <v>2</v>
      </c>
      <c r="L53" s="5">
        <v>8</v>
      </c>
      <c r="M53" s="3">
        <f t="shared" si="12"/>
        <v>8</v>
      </c>
      <c r="N53" s="3">
        <f t="shared" si="13"/>
        <v>42.8</v>
      </c>
      <c r="O53" s="9"/>
      <c r="P53" s="8">
        <v>0.2</v>
      </c>
    </row>
    <row r="54" spans="1:16" x14ac:dyDescent="0.25">
      <c r="A54" s="3">
        <v>49</v>
      </c>
      <c r="B54" s="4" t="s">
        <v>85</v>
      </c>
      <c r="C54" s="4" t="s">
        <v>86</v>
      </c>
      <c r="D54" s="3">
        <v>10</v>
      </c>
      <c r="E54" s="3">
        <f t="shared" si="7"/>
        <v>13</v>
      </c>
      <c r="F54" s="5">
        <v>7</v>
      </c>
      <c r="G54" s="3">
        <f t="shared" si="8"/>
        <v>17.5</v>
      </c>
      <c r="H54" s="3">
        <f t="shared" si="9"/>
        <v>8</v>
      </c>
      <c r="I54" s="5">
        <v>12</v>
      </c>
      <c r="J54" s="3">
        <f t="shared" si="10"/>
        <v>18</v>
      </c>
      <c r="K54" s="3">
        <f t="shared" si="11"/>
        <v>7</v>
      </c>
      <c r="L54" s="5">
        <v>3</v>
      </c>
      <c r="M54" s="3">
        <f t="shared" si="12"/>
        <v>3</v>
      </c>
      <c r="N54" s="3">
        <f t="shared" si="13"/>
        <v>42.8</v>
      </c>
      <c r="O54" s="9"/>
      <c r="P54" s="8">
        <v>0.2</v>
      </c>
    </row>
    <row r="55" spans="1:16" x14ac:dyDescent="0.25">
      <c r="A55" s="3">
        <v>50</v>
      </c>
      <c r="B55" s="4" t="s">
        <v>53</v>
      </c>
      <c r="C55" s="4" t="s">
        <v>54</v>
      </c>
      <c r="D55" s="3">
        <v>10</v>
      </c>
      <c r="E55" s="3">
        <f t="shared" si="7"/>
        <v>12</v>
      </c>
      <c r="F55" s="5">
        <v>8</v>
      </c>
      <c r="G55" s="3">
        <f t="shared" si="8"/>
        <v>20</v>
      </c>
      <c r="H55" s="3">
        <f t="shared" si="9"/>
        <v>10</v>
      </c>
      <c r="I55" s="5">
        <v>10</v>
      </c>
      <c r="J55" s="3">
        <f t="shared" si="10"/>
        <v>15</v>
      </c>
      <c r="K55" s="3">
        <f t="shared" si="11"/>
        <v>7</v>
      </c>
      <c r="L55" s="5">
        <v>3</v>
      </c>
      <c r="M55" s="3">
        <f t="shared" si="12"/>
        <v>3</v>
      </c>
      <c r="N55" s="3">
        <f t="shared" si="13"/>
        <v>42.2</v>
      </c>
      <c r="O55" s="9"/>
      <c r="P55" s="8">
        <v>0.2</v>
      </c>
    </row>
    <row r="56" spans="1:16" x14ac:dyDescent="0.25">
      <c r="A56" s="3">
        <v>51</v>
      </c>
      <c r="B56" s="4" t="s">
        <v>102</v>
      </c>
      <c r="C56" s="4" t="s">
        <v>58</v>
      </c>
      <c r="D56" s="3">
        <v>10</v>
      </c>
      <c r="E56" s="3">
        <f t="shared" si="7"/>
        <v>15</v>
      </c>
      <c r="F56" s="5">
        <v>5</v>
      </c>
      <c r="G56" s="3">
        <f t="shared" si="8"/>
        <v>12.5</v>
      </c>
      <c r="H56" s="3">
        <f t="shared" si="9"/>
        <v>5</v>
      </c>
      <c r="I56" s="5">
        <v>15</v>
      </c>
      <c r="J56" s="3">
        <f t="shared" si="10"/>
        <v>22.5</v>
      </c>
      <c r="K56" s="3">
        <f t="shared" si="11"/>
        <v>7</v>
      </c>
      <c r="L56" s="5">
        <v>3</v>
      </c>
      <c r="M56" s="3">
        <f t="shared" si="12"/>
        <v>3</v>
      </c>
      <c r="N56" s="3">
        <f t="shared" si="13"/>
        <v>42.2</v>
      </c>
      <c r="O56" s="9"/>
      <c r="P56" s="8">
        <v>0.2</v>
      </c>
    </row>
    <row r="57" spans="1:16" x14ac:dyDescent="0.25">
      <c r="A57" s="3">
        <v>52</v>
      </c>
      <c r="B57" s="4" t="s">
        <v>24</v>
      </c>
      <c r="C57" s="4" t="s">
        <v>25</v>
      </c>
      <c r="D57" s="3">
        <v>10</v>
      </c>
      <c r="E57" s="3">
        <f t="shared" si="7"/>
        <v>16</v>
      </c>
      <c r="F57" s="5">
        <v>4</v>
      </c>
      <c r="G57" s="3">
        <f t="shared" si="8"/>
        <v>10</v>
      </c>
      <c r="H57" s="3">
        <f t="shared" si="9"/>
        <v>5</v>
      </c>
      <c r="I57" s="5">
        <v>15</v>
      </c>
      <c r="J57" s="3">
        <f t="shared" si="10"/>
        <v>22.5</v>
      </c>
      <c r="K57" s="3">
        <f t="shared" si="11"/>
        <v>6</v>
      </c>
      <c r="L57" s="5">
        <v>4</v>
      </c>
      <c r="M57" s="3">
        <f t="shared" si="12"/>
        <v>4</v>
      </c>
      <c r="N57" s="3">
        <f t="shared" si="13"/>
        <v>40.6</v>
      </c>
      <c r="O57" s="9"/>
      <c r="P57" s="8">
        <v>0.2</v>
      </c>
    </row>
    <row r="58" spans="1:16" x14ac:dyDescent="0.25">
      <c r="A58" s="3">
        <v>53</v>
      </c>
      <c r="B58" s="4" t="s">
        <v>37</v>
      </c>
      <c r="C58" s="4" t="s">
        <v>39</v>
      </c>
      <c r="D58" s="3">
        <v>10</v>
      </c>
      <c r="E58" s="3">
        <f t="shared" si="7"/>
        <v>16</v>
      </c>
      <c r="F58" s="5">
        <v>4</v>
      </c>
      <c r="G58" s="3">
        <f t="shared" si="8"/>
        <v>10</v>
      </c>
      <c r="H58" s="3">
        <f t="shared" si="9"/>
        <v>3</v>
      </c>
      <c r="I58" s="5">
        <v>17</v>
      </c>
      <c r="J58" s="3">
        <f t="shared" si="10"/>
        <v>25.5</v>
      </c>
      <c r="K58" s="3">
        <f t="shared" si="11"/>
        <v>9</v>
      </c>
      <c r="L58" s="5">
        <v>1</v>
      </c>
      <c r="M58" s="3">
        <f t="shared" si="12"/>
        <v>1</v>
      </c>
      <c r="N58" s="3">
        <f t="shared" si="13"/>
        <v>40.6</v>
      </c>
      <c r="O58" s="9"/>
      <c r="P58" s="8">
        <v>0.2</v>
      </c>
    </row>
    <row r="59" spans="1:16" x14ac:dyDescent="0.25">
      <c r="A59" s="3">
        <v>54</v>
      </c>
      <c r="B59" s="4" t="s">
        <v>124</v>
      </c>
      <c r="C59" s="4" t="s">
        <v>31</v>
      </c>
      <c r="D59" s="3">
        <v>10</v>
      </c>
      <c r="E59" s="3">
        <f t="shared" si="7"/>
        <v>14</v>
      </c>
      <c r="F59" s="5">
        <v>6</v>
      </c>
      <c r="G59" s="3">
        <f t="shared" si="8"/>
        <v>15</v>
      </c>
      <c r="H59" s="3">
        <f t="shared" si="9"/>
        <v>8</v>
      </c>
      <c r="I59" s="5">
        <v>12</v>
      </c>
      <c r="J59" s="3">
        <f t="shared" si="10"/>
        <v>18</v>
      </c>
      <c r="K59" s="3">
        <f t="shared" si="11"/>
        <v>7</v>
      </c>
      <c r="L59" s="5">
        <v>3</v>
      </c>
      <c r="M59" s="3">
        <f t="shared" si="12"/>
        <v>3</v>
      </c>
      <c r="N59" s="3">
        <f t="shared" si="13"/>
        <v>40</v>
      </c>
      <c r="O59" s="9"/>
      <c r="P59" s="8">
        <v>0.2</v>
      </c>
    </row>
    <row r="60" spans="1:16" x14ac:dyDescent="0.25">
      <c r="A60" s="3">
        <v>55</v>
      </c>
      <c r="B60" s="4" t="s">
        <v>64</v>
      </c>
      <c r="C60" s="4" t="s">
        <v>65</v>
      </c>
      <c r="D60" s="3">
        <v>10</v>
      </c>
      <c r="E60" s="3">
        <f t="shared" si="7"/>
        <v>14</v>
      </c>
      <c r="F60" s="5">
        <v>6</v>
      </c>
      <c r="G60" s="3">
        <f t="shared" si="8"/>
        <v>15</v>
      </c>
      <c r="H60" s="3">
        <f t="shared" si="9"/>
        <v>11</v>
      </c>
      <c r="I60" s="5">
        <v>9</v>
      </c>
      <c r="J60" s="3">
        <f t="shared" si="10"/>
        <v>13.5</v>
      </c>
      <c r="K60" s="3">
        <f t="shared" si="11"/>
        <v>3</v>
      </c>
      <c r="L60" s="5">
        <v>7</v>
      </c>
      <c r="M60" s="3">
        <f t="shared" si="12"/>
        <v>7</v>
      </c>
      <c r="N60" s="3">
        <f t="shared" si="13"/>
        <v>39.4</v>
      </c>
      <c r="O60" s="9"/>
      <c r="P60" s="8">
        <v>0.2</v>
      </c>
    </row>
    <row r="61" spans="1:16" x14ac:dyDescent="0.25">
      <c r="A61" s="3">
        <v>56</v>
      </c>
      <c r="B61" s="4" t="s">
        <v>129</v>
      </c>
      <c r="C61" s="4" t="s">
        <v>80</v>
      </c>
      <c r="D61" s="3">
        <v>10</v>
      </c>
      <c r="E61" s="3">
        <f t="shared" si="7"/>
        <v>18</v>
      </c>
      <c r="F61" s="5">
        <v>2</v>
      </c>
      <c r="G61" s="3">
        <f t="shared" si="8"/>
        <v>5</v>
      </c>
      <c r="H61" s="3">
        <f t="shared" si="9"/>
        <v>5</v>
      </c>
      <c r="I61" s="5">
        <v>15</v>
      </c>
      <c r="J61" s="3">
        <f t="shared" si="10"/>
        <v>22.5</v>
      </c>
      <c r="K61" s="3">
        <f t="shared" si="11"/>
        <v>3</v>
      </c>
      <c r="L61" s="5">
        <v>7</v>
      </c>
      <c r="M61" s="3">
        <f t="shared" si="12"/>
        <v>7</v>
      </c>
      <c r="N61" s="3">
        <f t="shared" si="13"/>
        <v>38.299999999999997</v>
      </c>
      <c r="O61" s="9"/>
      <c r="P61" s="8">
        <v>0.2</v>
      </c>
    </row>
    <row r="62" spans="1:16" x14ac:dyDescent="0.25">
      <c r="A62" s="3">
        <v>57</v>
      </c>
      <c r="B62" s="4" t="s">
        <v>70</v>
      </c>
      <c r="C62" s="4" t="s">
        <v>71</v>
      </c>
      <c r="D62" s="3">
        <v>10</v>
      </c>
      <c r="E62" s="3">
        <f t="shared" si="7"/>
        <v>15</v>
      </c>
      <c r="F62" s="5">
        <v>5</v>
      </c>
      <c r="G62" s="3">
        <f t="shared" si="8"/>
        <v>12.5</v>
      </c>
      <c r="H62" s="3">
        <f t="shared" si="9"/>
        <v>7</v>
      </c>
      <c r="I62" s="5">
        <v>13</v>
      </c>
      <c r="J62" s="3">
        <f t="shared" si="10"/>
        <v>19.5</v>
      </c>
      <c r="K62" s="3">
        <f t="shared" si="11"/>
        <v>9</v>
      </c>
      <c r="L62" s="5">
        <v>1</v>
      </c>
      <c r="M62" s="3">
        <f t="shared" si="12"/>
        <v>1</v>
      </c>
      <c r="N62" s="3">
        <f t="shared" si="13"/>
        <v>36.700000000000003</v>
      </c>
      <c r="O62" s="9"/>
      <c r="P62" s="8">
        <v>0.2</v>
      </c>
    </row>
    <row r="63" spans="1:16" x14ac:dyDescent="0.25">
      <c r="A63" s="3">
        <v>58</v>
      </c>
      <c r="B63" s="4" t="s">
        <v>113</v>
      </c>
      <c r="C63" s="4" t="s">
        <v>114</v>
      </c>
      <c r="D63" s="3">
        <v>10</v>
      </c>
      <c r="E63" s="3">
        <f t="shared" si="7"/>
        <v>16</v>
      </c>
      <c r="F63" s="5">
        <v>4</v>
      </c>
      <c r="G63" s="3">
        <f t="shared" si="8"/>
        <v>10</v>
      </c>
      <c r="H63" s="3">
        <f t="shared" si="9"/>
        <v>10</v>
      </c>
      <c r="I63" s="5">
        <v>10</v>
      </c>
      <c r="J63" s="3">
        <f t="shared" si="10"/>
        <v>15</v>
      </c>
      <c r="K63" s="3">
        <f t="shared" si="11"/>
        <v>4</v>
      </c>
      <c r="L63" s="5">
        <v>6</v>
      </c>
      <c r="M63" s="3">
        <f t="shared" si="12"/>
        <v>6</v>
      </c>
      <c r="N63" s="3">
        <f t="shared" si="13"/>
        <v>34.4</v>
      </c>
      <c r="O63" s="9"/>
      <c r="P63" s="8">
        <v>0.2</v>
      </c>
    </row>
    <row r="64" spans="1:16" x14ac:dyDescent="0.25">
      <c r="A64" s="3">
        <v>59</v>
      </c>
      <c r="B64" s="4" t="s">
        <v>122</v>
      </c>
      <c r="C64" s="4" t="s">
        <v>123</v>
      </c>
      <c r="D64" s="3">
        <v>10</v>
      </c>
      <c r="E64" s="3">
        <f t="shared" si="7"/>
        <v>14</v>
      </c>
      <c r="F64" s="5">
        <v>6</v>
      </c>
      <c r="G64" s="3">
        <f t="shared" si="8"/>
        <v>15</v>
      </c>
      <c r="H64" s="3">
        <f t="shared" si="9"/>
        <v>11</v>
      </c>
      <c r="I64" s="5">
        <v>9</v>
      </c>
      <c r="J64" s="3">
        <f t="shared" si="10"/>
        <v>13.5</v>
      </c>
      <c r="K64" s="3">
        <f t="shared" si="11"/>
        <v>8</v>
      </c>
      <c r="L64" s="5">
        <v>2</v>
      </c>
      <c r="M64" s="3">
        <f t="shared" si="12"/>
        <v>2</v>
      </c>
      <c r="N64" s="3">
        <f t="shared" si="13"/>
        <v>33.9</v>
      </c>
      <c r="O64" s="9"/>
      <c r="P64" s="8">
        <v>0.2</v>
      </c>
    </row>
    <row r="65" spans="1:16" x14ac:dyDescent="0.25">
      <c r="A65" s="3">
        <v>60</v>
      </c>
      <c r="B65" s="4" t="s">
        <v>74</v>
      </c>
      <c r="C65" s="4" t="s">
        <v>75</v>
      </c>
      <c r="D65" s="3">
        <v>10</v>
      </c>
      <c r="E65" s="3">
        <f t="shared" si="7"/>
        <v>15</v>
      </c>
      <c r="F65" s="5">
        <v>5</v>
      </c>
      <c r="G65" s="3">
        <f t="shared" si="8"/>
        <v>12.5</v>
      </c>
      <c r="H65" s="3">
        <f t="shared" si="9"/>
        <v>11</v>
      </c>
      <c r="I65" s="5">
        <v>9</v>
      </c>
      <c r="J65" s="3">
        <f t="shared" si="10"/>
        <v>13.5</v>
      </c>
      <c r="K65" s="3">
        <f t="shared" si="11"/>
        <v>9</v>
      </c>
      <c r="L65" s="5">
        <v>1</v>
      </c>
      <c r="M65" s="3">
        <f t="shared" si="12"/>
        <v>1</v>
      </c>
      <c r="N65" s="3">
        <f t="shared" si="13"/>
        <v>30</v>
      </c>
      <c r="O65" s="9"/>
      <c r="P65" s="8">
        <v>0.2</v>
      </c>
    </row>
    <row r="66" spans="1:16" x14ac:dyDescent="0.25">
      <c r="A66" s="3">
        <v>61</v>
      </c>
      <c r="B66" s="4" t="s">
        <v>125</v>
      </c>
      <c r="C66" s="4" t="s">
        <v>126</v>
      </c>
      <c r="D66" s="3">
        <v>10</v>
      </c>
      <c r="E66" s="3">
        <f t="shared" si="7"/>
        <v>16</v>
      </c>
      <c r="F66" s="5">
        <v>4</v>
      </c>
      <c r="G66" s="3">
        <f t="shared" si="8"/>
        <v>10</v>
      </c>
      <c r="H66" s="3">
        <f t="shared" si="9"/>
        <v>13</v>
      </c>
      <c r="I66" s="5">
        <v>7</v>
      </c>
      <c r="J66" s="3">
        <f t="shared" si="10"/>
        <v>10.5</v>
      </c>
      <c r="K66" s="3">
        <f t="shared" si="11"/>
        <v>4</v>
      </c>
      <c r="L66" s="5">
        <v>6</v>
      </c>
      <c r="M66" s="3">
        <f t="shared" si="12"/>
        <v>6</v>
      </c>
      <c r="N66" s="3">
        <f t="shared" si="13"/>
        <v>29.4</v>
      </c>
      <c r="O66" s="9"/>
      <c r="P66" s="8">
        <v>0.1</v>
      </c>
    </row>
    <row r="67" spans="1:16" x14ac:dyDescent="0.25">
      <c r="A67" s="3">
        <v>62</v>
      </c>
      <c r="B67" s="4" t="s">
        <v>35</v>
      </c>
      <c r="C67" s="4" t="s">
        <v>36</v>
      </c>
      <c r="D67" s="3">
        <v>10</v>
      </c>
      <c r="E67" s="3">
        <f t="shared" si="7"/>
        <v>17</v>
      </c>
      <c r="F67" s="5">
        <v>3</v>
      </c>
      <c r="G67" s="3">
        <f t="shared" si="8"/>
        <v>7.5</v>
      </c>
      <c r="H67" s="3">
        <f t="shared" si="9"/>
        <v>12</v>
      </c>
      <c r="I67" s="5">
        <v>8</v>
      </c>
      <c r="J67" s="3">
        <f t="shared" si="10"/>
        <v>12</v>
      </c>
      <c r="K67" s="3">
        <f t="shared" si="11"/>
        <v>6</v>
      </c>
      <c r="L67" s="5">
        <v>4</v>
      </c>
      <c r="M67" s="3">
        <f t="shared" si="12"/>
        <v>4</v>
      </c>
      <c r="N67" s="3">
        <f t="shared" si="13"/>
        <v>26.1</v>
      </c>
      <c r="O67" s="9"/>
      <c r="P67" s="8">
        <v>0.1</v>
      </c>
    </row>
    <row r="68" spans="1:16" x14ac:dyDescent="0.25">
      <c r="A68" s="3">
        <v>63</v>
      </c>
      <c r="B68" s="4" t="s">
        <v>51</v>
      </c>
      <c r="C68" s="4" t="s">
        <v>52</v>
      </c>
      <c r="D68" s="3">
        <v>10</v>
      </c>
      <c r="E68" s="3">
        <f t="shared" si="7"/>
        <v>16</v>
      </c>
      <c r="F68" s="5">
        <v>4</v>
      </c>
      <c r="G68" s="3">
        <f t="shared" si="8"/>
        <v>10</v>
      </c>
      <c r="H68" s="3">
        <f t="shared" si="9"/>
        <v>14</v>
      </c>
      <c r="I68" s="5">
        <v>6</v>
      </c>
      <c r="J68" s="3">
        <f t="shared" si="10"/>
        <v>9</v>
      </c>
      <c r="K68" s="3">
        <f t="shared" si="11"/>
        <v>7</v>
      </c>
      <c r="L68" s="5">
        <v>3</v>
      </c>
      <c r="M68" s="3">
        <f t="shared" si="12"/>
        <v>3</v>
      </c>
      <c r="N68" s="3">
        <f t="shared" si="13"/>
        <v>24.4</v>
      </c>
      <c r="O68" s="9"/>
      <c r="P68" s="8">
        <v>0.1</v>
      </c>
    </row>
    <row r="69" spans="1:16" x14ac:dyDescent="0.25">
      <c r="A69" s="3"/>
      <c r="B69" s="4" t="s">
        <v>140</v>
      </c>
      <c r="C69" s="4" t="s">
        <v>141</v>
      </c>
      <c r="D69" s="3">
        <v>10</v>
      </c>
      <c r="E69" s="3">
        <f t="shared" si="7"/>
        <v>17</v>
      </c>
      <c r="F69" s="5">
        <v>3</v>
      </c>
      <c r="G69" s="3">
        <f t="shared" si="8"/>
        <v>7.5</v>
      </c>
      <c r="H69" s="3">
        <f t="shared" si="9"/>
        <v>2</v>
      </c>
      <c r="I69" s="5">
        <v>18</v>
      </c>
      <c r="J69" s="3">
        <f t="shared" si="10"/>
        <v>27</v>
      </c>
      <c r="K69" s="3">
        <f t="shared" si="11"/>
        <v>4</v>
      </c>
      <c r="L69" s="5">
        <v>6</v>
      </c>
      <c r="M69" s="3">
        <f t="shared" si="12"/>
        <v>6</v>
      </c>
      <c r="N69" s="3">
        <f t="shared" si="13"/>
        <v>45</v>
      </c>
      <c r="O69" s="9"/>
      <c r="P69" s="8"/>
    </row>
    <row r="70" spans="1:16" x14ac:dyDescent="0.25">
      <c r="A70" s="3"/>
      <c r="B70" s="4" t="s">
        <v>142</v>
      </c>
      <c r="C70" s="4" t="s">
        <v>143</v>
      </c>
      <c r="D70" s="3">
        <v>10</v>
      </c>
      <c r="E70" s="3">
        <f t="shared" si="7"/>
        <v>15</v>
      </c>
      <c r="F70" s="5">
        <v>5</v>
      </c>
      <c r="G70" s="3">
        <f t="shared" si="8"/>
        <v>12.5</v>
      </c>
      <c r="H70" s="3">
        <f t="shared" si="9"/>
        <v>10</v>
      </c>
      <c r="I70" s="5">
        <v>10</v>
      </c>
      <c r="J70" s="3">
        <f t="shared" si="10"/>
        <v>15</v>
      </c>
      <c r="K70" s="3">
        <f t="shared" si="11"/>
        <v>5</v>
      </c>
      <c r="L70" s="5">
        <v>5</v>
      </c>
      <c r="M70" s="3">
        <f t="shared" si="12"/>
        <v>5</v>
      </c>
      <c r="N70" s="3">
        <f t="shared" si="13"/>
        <v>36.1</v>
      </c>
      <c r="O70" s="9"/>
      <c r="P70" s="8"/>
    </row>
    <row r="71" spans="1:16" s="14" customFormat="1" x14ac:dyDescent="0.25">
      <c r="A71" s="10"/>
      <c r="B71" s="11" t="s">
        <v>40</v>
      </c>
      <c r="C71" s="11" t="s">
        <v>139</v>
      </c>
      <c r="D71" s="10">
        <v>10</v>
      </c>
      <c r="E71" s="10">
        <f t="shared" si="7"/>
        <v>15</v>
      </c>
      <c r="F71" s="10">
        <v>5</v>
      </c>
      <c r="G71" s="10">
        <f t="shared" si="8"/>
        <v>12.5</v>
      </c>
      <c r="H71" s="10">
        <f t="shared" si="9"/>
        <v>0</v>
      </c>
      <c r="I71" s="10">
        <v>20</v>
      </c>
      <c r="J71" s="10">
        <f t="shared" si="10"/>
        <v>30</v>
      </c>
      <c r="K71" s="10">
        <f t="shared" si="11"/>
        <v>7</v>
      </c>
      <c r="L71" s="10">
        <v>3</v>
      </c>
      <c r="M71" s="10">
        <f t="shared" si="12"/>
        <v>3</v>
      </c>
      <c r="N71" s="10">
        <f t="shared" si="13"/>
        <v>50.6</v>
      </c>
      <c r="O71" s="12"/>
      <c r="P71" s="13">
        <v>0.25</v>
      </c>
    </row>
    <row r="72" spans="1:16" x14ac:dyDescent="0.25">
      <c r="A72" s="3">
        <v>64</v>
      </c>
      <c r="B72" s="4" t="s">
        <v>30</v>
      </c>
      <c r="C72" s="4" t="s">
        <v>31</v>
      </c>
      <c r="D72" s="3">
        <v>10</v>
      </c>
      <c r="E72" s="3">
        <f t="shared" si="7"/>
        <v>16</v>
      </c>
      <c r="F72" s="5">
        <v>4</v>
      </c>
      <c r="G72" s="3">
        <f t="shared" si="8"/>
        <v>10</v>
      </c>
      <c r="H72" s="3">
        <f t="shared" si="9"/>
        <v>17</v>
      </c>
      <c r="I72" s="5">
        <v>3</v>
      </c>
      <c r="J72" s="3">
        <f t="shared" si="10"/>
        <v>4.5</v>
      </c>
      <c r="K72" s="3">
        <f t="shared" si="11"/>
        <v>4</v>
      </c>
      <c r="L72" s="5">
        <v>6</v>
      </c>
      <c r="M72" s="3">
        <f t="shared" si="12"/>
        <v>6</v>
      </c>
      <c r="N72" s="3">
        <f t="shared" si="13"/>
        <v>22.8</v>
      </c>
      <c r="O72" s="9"/>
      <c r="P72" s="8">
        <v>0.1</v>
      </c>
    </row>
    <row r="73" spans="1:16" x14ac:dyDescent="0.25">
      <c r="G73" s="3" t="str">
        <f t="shared" ref="G73" si="14">IF(L73="","",F73*2.5)</f>
        <v/>
      </c>
    </row>
    <row r="74" spans="1:16" x14ac:dyDescent="0.25">
      <c r="B74" s="6"/>
    </row>
  </sheetData>
  <autoFilter ref="N5:N72" xr:uid="{00000000-0001-0000-0000-000000000000}">
    <sortState xmlns:xlrd2="http://schemas.microsoft.com/office/spreadsheetml/2017/richdata2" ref="A6:P74">
      <sortCondition descending="1" ref="N5:N72"/>
    </sortState>
  </autoFilter>
  <mergeCells count="7">
    <mergeCell ref="A1:C3"/>
    <mergeCell ref="D1:P1"/>
    <mergeCell ref="D2:P2"/>
    <mergeCell ref="D3:P3"/>
    <mergeCell ref="E4:G4"/>
    <mergeCell ref="H4:J4"/>
    <mergeCell ref="K4:M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10-SINF</vt:lpstr>
      <vt:lpstr>'10-SINF'!Print_Titles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AdminICT</cp:lastModifiedBy>
  <cp:revision>0</cp:revision>
  <dcterms:created xsi:type="dcterms:W3CDTF">2026-08-15T07:27:56Z</dcterms:created>
  <dcterms:modified xsi:type="dcterms:W3CDTF">2026-08-22T09:09:48Z</dcterms:modified>
  <dc:language>en-US</dc:language>
</cp:coreProperties>
</file>