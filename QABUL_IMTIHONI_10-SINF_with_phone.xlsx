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ADMISSION\10-11 grades 2026\"/>
    </mc:Choice>
  </mc:AlternateContent>
  <xr:revisionPtr revIDLastSave="0" documentId="13_ncr:1_{CC4A2C2B-FCB6-490B-90EF-C42584F17A6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10-SINF" sheetId="1" r:id="rId1"/>
  </sheets>
  <definedNames>
    <definedName name="_xlnm._FilterDatabase" localSheetId="0" hidden="1">'10-SINF'!$N$5:$N$69</definedName>
    <definedName name="_xlnm.Print_Titles" localSheetId="0">'10-SINF'!$1:$5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1" l="1"/>
  <c r="J26" i="1"/>
  <c r="K26" i="1"/>
  <c r="M26" i="1"/>
  <c r="N26" i="1"/>
  <c r="H26" i="1"/>
  <c r="E26" i="1"/>
  <c r="G42" i="1"/>
  <c r="J42" i="1"/>
  <c r="K42" i="1"/>
  <c r="M42" i="1"/>
  <c r="N42" i="1" s="1"/>
  <c r="H42" i="1"/>
  <c r="E42" i="1"/>
  <c r="G69" i="1"/>
  <c r="J69" i="1"/>
  <c r="K69" i="1"/>
  <c r="M69" i="1"/>
  <c r="H69" i="1"/>
  <c r="E69" i="1"/>
  <c r="M33" i="1"/>
  <c r="M37" i="1"/>
  <c r="M15" i="1"/>
  <c r="M10" i="1"/>
  <c r="M57" i="1"/>
  <c r="M22" i="1"/>
  <c r="M21" i="1"/>
  <c r="M16" i="1"/>
  <c r="M67" i="1"/>
  <c r="M38" i="1"/>
  <c r="M58" i="1"/>
  <c r="M39" i="1"/>
  <c r="M34" i="1"/>
  <c r="M44" i="1"/>
  <c r="M13" i="1"/>
  <c r="M43" i="1"/>
  <c r="M47" i="1"/>
  <c r="M68" i="1"/>
  <c r="M55" i="1"/>
  <c r="M45" i="1"/>
  <c r="M56" i="1"/>
  <c r="M25" i="1"/>
  <c r="M8" i="1"/>
  <c r="M27" i="1"/>
  <c r="M60" i="1"/>
  <c r="M52" i="1"/>
  <c r="M7" i="1"/>
  <c r="M62" i="1"/>
  <c r="M20" i="1"/>
  <c r="M65" i="1"/>
  <c r="M46" i="1"/>
  <c r="M14" i="1"/>
  <c r="M61" i="1"/>
  <c r="M53" i="1"/>
  <c r="M17" i="1"/>
  <c r="M54" i="1"/>
  <c r="M30" i="1"/>
  <c r="M40" i="1"/>
  <c r="M28" i="1"/>
  <c r="M6" i="1"/>
  <c r="M41" i="1"/>
  <c r="M49" i="1"/>
  <c r="M24" i="1"/>
  <c r="M18" i="1"/>
  <c r="M48" i="1"/>
  <c r="M50" i="1"/>
  <c r="M19" i="1"/>
  <c r="M11" i="1"/>
  <c r="M63" i="1"/>
  <c r="M29" i="1"/>
  <c r="M51" i="1"/>
  <c r="M36" i="1"/>
  <c r="M64" i="1"/>
  <c r="M59" i="1"/>
  <c r="M66" i="1"/>
  <c r="M12" i="1"/>
  <c r="M32" i="1"/>
  <c r="M35" i="1"/>
  <c r="M31" i="1"/>
  <c r="M9" i="1"/>
  <c r="K33" i="1"/>
  <c r="K37" i="1"/>
  <c r="K15" i="1"/>
  <c r="K10" i="1"/>
  <c r="K57" i="1"/>
  <c r="K22" i="1"/>
  <c r="K21" i="1"/>
  <c r="K16" i="1"/>
  <c r="K67" i="1"/>
  <c r="K38" i="1"/>
  <c r="K58" i="1"/>
  <c r="K39" i="1"/>
  <c r="K34" i="1"/>
  <c r="K44" i="1"/>
  <c r="K13" i="1"/>
  <c r="K43" i="1"/>
  <c r="K47" i="1"/>
  <c r="K68" i="1"/>
  <c r="K55" i="1"/>
  <c r="K45" i="1"/>
  <c r="K56" i="1"/>
  <c r="K25" i="1"/>
  <c r="K8" i="1"/>
  <c r="K27" i="1"/>
  <c r="K60" i="1"/>
  <c r="K52" i="1"/>
  <c r="K7" i="1"/>
  <c r="K62" i="1"/>
  <c r="K20" i="1"/>
  <c r="K65" i="1"/>
  <c r="K46" i="1"/>
  <c r="K14" i="1"/>
  <c r="K61" i="1"/>
  <c r="K53" i="1"/>
  <c r="K17" i="1"/>
  <c r="K54" i="1"/>
  <c r="K30" i="1"/>
  <c r="K40" i="1"/>
  <c r="K28" i="1"/>
  <c r="K6" i="1"/>
  <c r="K41" i="1"/>
  <c r="K49" i="1"/>
  <c r="K24" i="1"/>
  <c r="K18" i="1"/>
  <c r="K48" i="1"/>
  <c r="K50" i="1"/>
  <c r="K19" i="1"/>
  <c r="K11" i="1"/>
  <c r="K63" i="1"/>
  <c r="K29" i="1"/>
  <c r="K51" i="1"/>
  <c r="K36" i="1"/>
  <c r="K64" i="1"/>
  <c r="K59" i="1"/>
  <c r="K66" i="1"/>
  <c r="K12" i="1"/>
  <c r="K32" i="1"/>
  <c r="K35" i="1"/>
  <c r="K31" i="1"/>
  <c r="K9" i="1"/>
  <c r="J33" i="1"/>
  <c r="J37" i="1"/>
  <c r="J15" i="1"/>
  <c r="J10" i="1"/>
  <c r="J57" i="1"/>
  <c r="J22" i="1"/>
  <c r="J21" i="1"/>
  <c r="J16" i="1"/>
  <c r="J67" i="1"/>
  <c r="J38" i="1"/>
  <c r="J58" i="1"/>
  <c r="J39" i="1"/>
  <c r="J34" i="1"/>
  <c r="J44" i="1"/>
  <c r="J13" i="1"/>
  <c r="J43" i="1"/>
  <c r="J47" i="1"/>
  <c r="J68" i="1"/>
  <c r="J55" i="1"/>
  <c r="J45" i="1"/>
  <c r="J56" i="1"/>
  <c r="J25" i="1"/>
  <c r="J8" i="1"/>
  <c r="J27" i="1"/>
  <c r="J60" i="1"/>
  <c r="J52" i="1"/>
  <c r="J7" i="1"/>
  <c r="J62" i="1"/>
  <c r="J20" i="1"/>
  <c r="J65" i="1"/>
  <c r="J46" i="1"/>
  <c r="J14" i="1"/>
  <c r="J61" i="1"/>
  <c r="J53" i="1"/>
  <c r="J17" i="1"/>
  <c r="J54" i="1"/>
  <c r="J30" i="1"/>
  <c r="J40" i="1"/>
  <c r="J28" i="1"/>
  <c r="J6" i="1"/>
  <c r="J41" i="1"/>
  <c r="J49" i="1"/>
  <c r="J24" i="1"/>
  <c r="J18" i="1"/>
  <c r="J48" i="1"/>
  <c r="J50" i="1"/>
  <c r="J19" i="1"/>
  <c r="J11" i="1"/>
  <c r="J63" i="1"/>
  <c r="J29" i="1"/>
  <c r="J51" i="1"/>
  <c r="J36" i="1"/>
  <c r="J64" i="1"/>
  <c r="J59" i="1"/>
  <c r="J66" i="1"/>
  <c r="J12" i="1"/>
  <c r="J32" i="1"/>
  <c r="J35" i="1"/>
  <c r="J31" i="1"/>
  <c r="J9" i="1"/>
  <c r="H33" i="1"/>
  <c r="H37" i="1"/>
  <c r="H15" i="1"/>
  <c r="H10" i="1"/>
  <c r="H57" i="1"/>
  <c r="H22" i="1"/>
  <c r="H21" i="1"/>
  <c r="H16" i="1"/>
  <c r="H67" i="1"/>
  <c r="H38" i="1"/>
  <c r="H58" i="1"/>
  <c r="H39" i="1"/>
  <c r="H34" i="1"/>
  <c r="H44" i="1"/>
  <c r="H13" i="1"/>
  <c r="H43" i="1"/>
  <c r="H47" i="1"/>
  <c r="H68" i="1"/>
  <c r="H55" i="1"/>
  <c r="H45" i="1"/>
  <c r="H56" i="1"/>
  <c r="H25" i="1"/>
  <c r="H8" i="1"/>
  <c r="H27" i="1"/>
  <c r="H60" i="1"/>
  <c r="H52" i="1"/>
  <c r="H7" i="1"/>
  <c r="H62" i="1"/>
  <c r="H20" i="1"/>
  <c r="H65" i="1"/>
  <c r="H46" i="1"/>
  <c r="H14" i="1"/>
  <c r="H61" i="1"/>
  <c r="H53" i="1"/>
  <c r="H17" i="1"/>
  <c r="H54" i="1"/>
  <c r="H30" i="1"/>
  <c r="H40" i="1"/>
  <c r="H28" i="1"/>
  <c r="H6" i="1"/>
  <c r="H41" i="1"/>
  <c r="H49" i="1"/>
  <c r="H24" i="1"/>
  <c r="H18" i="1"/>
  <c r="H48" i="1"/>
  <c r="H50" i="1"/>
  <c r="H19" i="1"/>
  <c r="H11" i="1"/>
  <c r="H63" i="1"/>
  <c r="H29" i="1"/>
  <c r="H51" i="1"/>
  <c r="H36" i="1"/>
  <c r="H64" i="1"/>
  <c r="H59" i="1"/>
  <c r="H66" i="1"/>
  <c r="H12" i="1"/>
  <c r="H32" i="1"/>
  <c r="H35" i="1"/>
  <c r="H31" i="1"/>
  <c r="H9" i="1"/>
  <c r="G33" i="1"/>
  <c r="G37" i="1"/>
  <c r="G15" i="1"/>
  <c r="G10" i="1"/>
  <c r="G57" i="1"/>
  <c r="G22" i="1"/>
  <c r="G21" i="1"/>
  <c r="G16" i="1"/>
  <c r="G67" i="1"/>
  <c r="G38" i="1"/>
  <c r="G58" i="1"/>
  <c r="G39" i="1"/>
  <c r="G34" i="1"/>
  <c r="G44" i="1"/>
  <c r="G13" i="1"/>
  <c r="G43" i="1"/>
  <c r="G47" i="1"/>
  <c r="G68" i="1"/>
  <c r="G55" i="1"/>
  <c r="G45" i="1"/>
  <c r="G56" i="1"/>
  <c r="G25" i="1"/>
  <c r="G8" i="1"/>
  <c r="G27" i="1"/>
  <c r="G60" i="1"/>
  <c r="G52" i="1"/>
  <c r="G7" i="1"/>
  <c r="G62" i="1"/>
  <c r="G20" i="1"/>
  <c r="G65" i="1"/>
  <c r="G46" i="1"/>
  <c r="G14" i="1"/>
  <c r="G61" i="1"/>
  <c r="G53" i="1"/>
  <c r="G17" i="1"/>
  <c r="G54" i="1"/>
  <c r="G30" i="1"/>
  <c r="G40" i="1"/>
  <c r="G28" i="1"/>
  <c r="G6" i="1"/>
  <c r="G41" i="1"/>
  <c r="G49" i="1"/>
  <c r="G24" i="1"/>
  <c r="G18" i="1"/>
  <c r="G48" i="1"/>
  <c r="G50" i="1"/>
  <c r="G19" i="1"/>
  <c r="G11" i="1"/>
  <c r="G63" i="1"/>
  <c r="G29" i="1"/>
  <c r="G51" i="1"/>
  <c r="G36" i="1"/>
  <c r="G64" i="1"/>
  <c r="G59" i="1"/>
  <c r="G66" i="1"/>
  <c r="G12" i="1"/>
  <c r="G32" i="1"/>
  <c r="G35" i="1"/>
  <c r="G31" i="1"/>
  <c r="G9" i="1"/>
  <c r="G70" i="1"/>
  <c r="E33" i="1"/>
  <c r="E37" i="1"/>
  <c r="E15" i="1"/>
  <c r="E10" i="1"/>
  <c r="E57" i="1"/>
  <c r="E22" i="1"/>
  <c r="E21" i="1"/>
  <c r="E16" i="1"/>
  <c r="E67" i="1"/>
  <c r="E38" i="1"/>
  <c r="E58" i="1"/>
  <c r="E39" i="1"/>
  <c r="E34" i="1"/>
  <c r="E44" i="1"/>
  <c r="E13" i="1"/>
  <c r="E43" i="1"/>
  <c r="E47" i="1"/>
  <c r="E68" i="1"/>
  <c r="E55" i="1"/>
  <c r="E45" i="1"/>
  <c r="E56" i="1"/>
  <c r="E25" i="1"/>
  <c r="E8" i="1"/>
  <c r="E27" i="1"/>
  <c r="E60" i="1"/>
  <c r="E52" i="1"/>
  <c r="E7" i="1"/>
  <c r="E62" i="1"/>
  <c r="E20" i="1"/>
  <c r="E65" i="1"/>
  <c r="E46" i="1"/>
  <c r="E14" i="1"/>
  <c r="E61" i="1"/>
  <c r="E53" i="1"/>
  <c r="E17" i="1"/>
  <c r="E54" i="1"/>
  <c r="E30" i="1"/>
  <c r="E40" i="1"/>
  <c r="E28" i="1"/>
  <c r="E6" i="1"/>
  <c r="E41" i="1"/>
  <c r="E49" i="1"/>
  <c r="E24" i="1"/>
  <c r="E18" i="1"/>
  <c r="E48" i="1"/>
  <c r="E50" i="1"/>
  <c r="E19" i="1"/>
  <c r="E11" i="1"/>
  <c r="E63" i="1"/>
  <c r="E29" i="1"/>
  <c r="E51" i="1"/>
  <c r="E36" i="1"/>
  <c r="E64" i="1"/>
  <c r="E59" i="1"/>
  <c r="E66" i="1"/>
  <c r="E12" i="1"/>
  <c r="E32" i="1"/>
  <c r="E35" i="1"/>
  <c r="E31" i="1"/>
  <c r="E9" i="1"/>
  <c r="K23" i="1"/>
  <c r="H23" i="1"/>
  <c r="G23" i="1"/>
  <c r="J23" i="1"/>
  <c r="M23" i="1"/>
  <c r="E23" i="1"/>
  <c r="N9" i="1" l="1"/>
  <c r="N12" i="1"/>
  <c r="N36" i="1"/>
  <c r="N11" i="1"/>
  <c r="N18" i="1"/>
  <c r="N6" i="1"/>
  <c r="N54" i="1"/>
  <c r="N14" i="1"/>
  <c r="N62" i="1"/>
  <c r="N27" i="1"/>
  <c r="N45" i="1"/>
  <c r="N43" i="1"/>
  <c r="N34" i="1"/>
  <c r="N67" i="1"/>
  <c r="N57" i="1"/>
  <c r="N33" i="1"/>
  <c r="N69" i="1"/>
  <c r="N31" i="1"/>
  <c r="N66" i="1"/>
  <c r="N51" i="1"/>
  <c r="N19" i="1"/>
  <c r="N24" i="1"/>
  <c r="N28" i="1"/>
  <c r="N17" i="1"/>
  <c r="N46" i="1"/>
  <c r="N7" i="1"/>
  <c r="N8" i="1"/>
  <c r="N55" i="1"/>
  <c r="N13" i="1"/>
  <c r="N39" i="1"/>
  <c r="N16" i="1"/>
  <c r="N10" i="1"/>
  <c r="N32" i="1"/>
  <c r="N64" i="1"/>
  <c r="N63" i="1"/>
  <c r="N48" i="1"/>
  <c r="N41" i="1"/>
  <c r="N30" i="1"/>
  <c r="N61" i="1"/>
  <c r="N20" i="1"/>
  <c r="N60" i="1"/>
  <c r="N56" i="1"/>
  <c r="N47" i="1"/>
  <c r="N44" i="1"/>
  <c r="N38" i="1"/>
  <c r="N22" i="1"/>
  <c r="N37" i="1"/>
  <c r="N35" i="1"/>
  <c r="N59" i="1"/>
  <c r="N29" i="1"/>
  <c r="N50" i="1"/>
  <c r="N49" i="1"/>
  <c r="N40" i="1"/>
  <c r="N53" i="1"/>
  <c r="N65" i="1"/>
  <c r="N52" i="1"/>
  <c r="N25" i="1"/>
  <c r="N68" i="1"/>
  <c r="N58" i="1"/>
  <c r="N21" i="1"/>
  <c r="N15" i="1"/>
  <c r="N23" i="1"/>
</calcChain>
</file>

<file path=xl/sharedStrings.xml><?xml version="1.0" encoding="utf-8"?>
<sst xmlns="http://schemas.openxmlformats.org/spreadsheetml/2006/main" count="195" uniqueCount="186">
  <si>
    <t>ELLIPSE INTERNATIONAL SCHOOL</t>
  </si>
  <si>
    <t>QABUL IMTIHONI NATIJALARI  —  10-SINF</t>
  </si>
  <si>
    <t>2026-yil  |  Matematika  •  English  •  Ona tili / Rus tili</t>
  </si>
  <si>
    <t>Matematika</t>
  </si>
  <si>
    <t>English</t>
  </si>
  <si>
    <t>Ona tili / Rus tili</t>
  </si>
  <si>
    <t>#</t>
  </si>
  <si>
    <t>FAMILYA</t>
  </si>
  <si>
    <t>ISM</t>
  </si>
  <si>
    <t>Sinf</t>
  </si>
  <si>
    <t>NOTO'GRI</t>
  </si>
  <si>
    <t>TO'G'RI (2.5 BALL)</t>
  </si>
  <si>
    <t>TO'G'RI (1.5 BALL)</t>
  </si>
  <si>
    <t>UMUMIY %</t>
  </si>
  <si>
    <t>NATIJA</t>
  </si>
  <si>
    <t>GRANT</t>
  </si>
  <si>
    <t>TELEFON</t>
  </si>
  <si>
    <t>Abdasimov</t>
  </si>
  <si>
    <t>Bexruzbek</t>
  </si>
  <si>
    <t>935569809</t>
  </si>
  <si>
    <t>Abdulazizov</t>
  </si>
  <si>
    <t>Abdulbosit</t>
  </si>
  <si>
    <t>935450336</t>
  </si>
  <si>
    <t>Abdullaev</t>
  </si>
  <si>
    <t>77 005 33 67</t>
  </si>
  <si>
    <t>Abdurasulova</t>
  </si>
  <si>
    <t>Madina</t>
  </si>
  <si>
    <t>909204243</t>
  </si>
  <si>
    <t>Abdurazzoqov</t>
  </si>
  <si>
    <t>Abdumavlon</t>
  </si>
  <si>
    <t>990374354</t>
  </si>
  <si>
    <t>Akhmedov</t>
  </si>
  <si>
    <t>Sardorbek</t>
  </si>
  <si>
    <t>+998901131014</t>
  </si>
  <si>
    <t>Alisherov</t>
  </si>
  <si>
    <t>Mirkamol</t>
  </si>
  <si>
    <t>933303332</t>
  </si>
  <si>
    <t>Avazov</t>
  </si>
  <si>
    <t>Abdulvadud</t>
  </si>
  <si>
    <t>974124014</t>
  </si>
  <si>
    <t>Axmedova</t>
  </si>
  <si>
    <t>Durdona</t>
  </si>
  <si>
    <t>Baboxodjaev</t>
  </si>
  <si>
    <t>Abdulla</t>
  </si>
  <si>
    <t>947430143</t>
  </si>
  <si>
    <t>Shamsiddin</t>
  </si>
  <si>
    <t>Baxodirov</t>
  </si>
  <si>
    <t>Saidalo</t>
  </si>
  <si>
    <t>90</t>
  </si>
  <si>
    <t>Baxromova</t>
  </si>
  <si>
    <t>Fotima</t>
  </si>
  <si>
    <t>935420800</t>
  </si>
  <si>
    <t>Zuhra</t>
  </si>
  <si>
    <t>901287737</t>
  </si>
  <si>
    <t>Baxtiyorov</t>
  </si>
  <si>
    <t>Bilol</t>
  </si>
  <si>
    <t>9983330069</t>
  </si>
  <si>
    <t>Bobur</t>
  </si>
  <si>
    <t>935712552</t>
  </si>
  <si>
    <t>Boxodirov</t>
  </si>
  <si>
    <t>Imronbek</t>
  </si>
  <si>
    <t>+998998485085</t>
  </si>
  <si>
    <t>Erkinov</t>
  </si>
  <si>
    <t>Xumoyun</t>
  </si>
  <si>
    <t>946097985</t>
  </si>
  <si>
    <t>Fatxullayev</t>
  </si>
  <si>
    <t>Ozodbek</t>
  </si>
  <si>
    <t>900992628</t>
  </si>
  <si>
    <t>Islomov</t>
  </si>
  <si>
    <t>Xondamir</t>
  </si>
  <si>
    <t>903520407</t>
  </si>
  <si>
    <t>Joldashbayev</t>
  </si>
  <si>
    <t>Aslanbek</t>
  </si>
  <si>
    <t>994340711</t>
  </si>
  <si>
    <t>Jumaboev</t>
  </si>
  <si>
    <t>Javohir</t>
  </si>
  <si>
    <t>934250818</t>
  </si>
  <si>
    <t>Ko'zmatov</t>
  </si>
  <si>
    <t>Anvar</t>
  </si>
  <si>
    <t>977746433</t>
  </si>
  <si>
    <t>Muhammadova</t>
  </si>
  <si>
    <t>Charos</t>
  </si>
  <si>
    <t>995387883</t>
  </si>
  <si>
    <t>Nabiev</t>
  </si>
  <si>
    <t>Abduhalil</t>
  </si>
  <si>
    <t>977464816</t>
  </si>
  <si>
    <t>Nazarzoda</t>
  </si>
  <si>
    <t>Boyon</t>
  </si>
  <si>
    <t>908072580</t>
  </si>
  <si>
    <t>Nuriddinov</t>
  </si>
  <si>
    <t>940043828</t>
  </si>
  <si>
    <t>Pavlova</t>
  </si>
  <si>
    <t>Tatyana</t>
  </si>
  <si>
    <t>903232178</t>
  </si>
  <si>
    <t>Rahimjonova</t>
  </si>
  <si>
    <t>Dilbar</t>
  </si>
  <si>
    <t>887179876</t>
  </si>
  <si>
    <t>Rashidov</t>
  </si>
  <si>
    <t>Akbarjon</t>
  </si>
  <si>
    <t>998908050204</t>
  </si>
  <si>
    <t>Raximjanov</t>
  </si>
  <si>
    <t>Bexruz</t>
  </si>
  <si>
    <t>97 708 47 71</t>
  </si>
  <si>
    <t>Saidakbar</t>
  </si>
  <si>
    <t>Sulaymon</t>
  </si>
  <si>
    <t>+998335533343</t>
  </si>
  <si>
    <t>Samariddinova</t>
  </si>
  <si>
    <t>Mubinabonu</t>
  </si>
  <si>
    <t>997666366</t>
  </si>
  <si>
    <t>Shoyusupova</t>
  </si>
  <si>
    <t>Shodiya</t>
  </si>
  <si>
    <t>997990129</t>
  </si>
  <si>
    <t>Shuxratov</t>
  </si>
  <si>
    <t>Mirsaid</t>
  </si>
  <si>
    <t>977061522</t>
  </si>
  <si>
    <t>Samira</t>
  </si>
  <si>
    <t>909473335</t>
  </si>
  <si>
    <t>Tadjieva</t>
  </si>
  <si>
    <t>Hayriniso</t>
  </si>
  <si>
    <t>999812958</t>
  </si>
  <si>
    <t>Tillaxojayev</t>
  </si>
  <si>
    <t>Ilyosxoja</t>
  </si>
  <si>
    <t>999331511</t>
  </si>
  <si>
    <t>Ulugbekova</t>
  </si>
  <si>
    <t>Elnora</t>
  </si>
  <si>
    <t>940387588</t>
  </si>
  <si>
    <t>Xayitmetov</t>
  </si>
  <si>
    <t>Timur</t>
  </si>
  <si>
    <t>90 977 70 88</t>
  </si>
  <si>
    <t>Xudoyberdiyev</t>
  </si>
  <si>
    <t>Shahobiddin</t>
  </si>
  <si>
    <t>900942968</t>
  </si>
  <si>
    <t>Yunusov</t>
  </si>
  <si>
    <t>Ibrohim</t>
  </si>
  <si>
    <t>+998770278088</t>
  </si>
  <si>
    <t>Salohiddin</t>
  </si>
  <si>
    <t>910095878</t>
  </si>
  <si>
    <t>Zulfiqorov</t>
  </si>
  <si>
    <t>Azizbek</t>
  </si>
  <si>
    <t>900358282</t>
  </si>
  <si>
    <t>Muhammaddier</t>
  </si>
  <si>
    <t>+998774007764</t>
  </si>
  <si>
    <t>Sariq katakchalarga TO'G'RI javoblar sonini kiriting (Matematika: 0-25, English: 0-10, Ona tili: 0-15). NATIJA va GRANT ustunlari ham qo'lda to'ldiriladi. Qolgan ustunlar avtomatik hisoblanadi. Maksimal UMUMIY % = 100.</t>
  </si>
  <si>
    <t>Ball</t>
  </si>
  <si>
    <t>G'ayratov</t>
  </si>
  <si>
    <t>Bahovuddin</t>
  </si>
  <si>
    <t>Kuralbayeva</t>
  </si>
  <si>
    <t>Laylo</t>
  </si>
  <si>
    <t>Mumurova</t>
  </si>
  <si>
    <t>Abdurahmonova</t>
  </si>
  <si>
    <t>Muhlisa</t>
  </si>
  <si>
    <t>Begmatov</t>
  </si>
  <si>
    <t>Ahror</t>
  </si>
  <si>
    <t>Akramov</t>
  </si>
  <si>
    <t>Mustafo</t>
  </si>
  <si>
    <t>Akmaljonova</t>
  </si>
  <si>
    <t>Fariza</t>
  </si>
  <si>
    <t>Agzamova</t>
  </si>
  <si>
    <t>Soliha</t>
  </si>
  <si>
    <t>Normamatova</t>
  </si>
  <si>
    <t>Shahrizoda</t>
  </si>
  <si>
    <t>Bahodirova</t>
  </si>
  <si>
    <t>Anora</t>
  </si>
  <si>
    <t>Khalid</t>
  </si>
  <si>
    <t>Shukurullaev</t>
  </si>
  <si>
    <t>Nurmuhammad</t>
  </si>
  <si>
    <t>Mirsadikov</t>
  </si>
  <si>
    <t>MuhammadAmin</t>
  </si>
  <si>
    <t>Valiev</t>
  </si>
  <si>
    <t>Behruz</t>
  </si>
  <si>
    <t>Navasova</t>
  </si>
  <si>
    <t>Akramzhonov</t>
  </si>
  <si>
    <t>Abdulboriy</t>
  </si>
  <si>
    <t>Yusufbek</t>
  </si>
  <si>
    <t>Muhammadiev</t>
  </si>
  <si>
    <t>Somadova</t>
  </si>
  <si>
    <t>Asatillaev</t>
  </si>
  <si>
    <t>Xa</t>
  </si>
  <si>
    <t>Anzhelika</t>
  </si>
  <si>
    <t>Oqilxon</t>
  </si>
  <si>
    <t>Jorajonova</t>
  </si>
  <si>
    <t>Jumaev</t>
  </si>
  <si>
    <t>Shoxjahon</t>
  </si>
  <si>
    <t>Mohlaroy</t>
  </si>
  <si>
    <t>Abdu</t>
  </si>
  <si>
    <t>TO'G'RI (1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</si>
</sst>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11"/>
      <name val="Calibri Light"/>
      <family val="2"/>
    </font>
    <font>
      <i/>
      <sz val="9"/>
      <color rgb="FF7F7F7F"/>
      <name val="Arial"/>
      <family val="2"/>
    </font>
    <font>
      <sz val="14"/>
      <color rgb="FFFFFFFF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charset val="1"/>
    </font>
    <font>
      <sz val="11"/>
      <name val="Cambria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10" fillId="8" borderId="2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76200</xdr:rowOff>
    </xdr:from>
    <xdr:to>
      <xdr:col>2</xdr:col>
      <xdr:colOff>790575</xdr:colOff>
      <xdr:row>2</xdr:row>
      <xdr:rowOff>185962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F4B17-3B62-CDB1-1FDA-8E2356F11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76200"/>
          <a:ext cx="1990725" cy="614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showGridLines="0" tabSelected="1" zoomScaleNormal="100" workbookViewId="0">
      <pane ySplit="5" topLeftCell="A57" activePane="bottomLeft" state="frozen"/>
      <selection pane="bottomLeft" activeCell="O6" sqref="O6"/>
    </sheetView>
  </sheetViews>
  <sheetFormatPr defaultColWidth="8.7109375" defaultRowHeight="15" x14ac:dyDescent="0.25"/>
  <cols>
    <col min="1" max="1" width="4" customWidth="1"/>
    <col min="2" max="2" width="17.5703125" customWidth="1"/>
    <col min="3" max="3" width="14.7109375" customWidth="1"/>
    <col min="4" max="4" width="5" customWidth="1"/>
    <col min="5" max="5" width="8.85546875" customWidth="1"/>
    <col min="6" max="6" width="8.42578125" customWidth="1"/>
    <col min="7" max="7" width="5.5703125" customWidth="1"/>
    <col min="8" max="8" width="8.85546875" customWidth="1"/>
    <col min="9" max="9" width="8.42578125" customWidth="1"/>
    <col min="10" max="10" width="5.5703125" customWidth="1"/>
    <col min="11" max="11" width="8.85546875" customWidth="1"/>
    <col min="12" max="12" width="8.42578125" customWidth="1"/>
    <col min="13" max="13" width="5.5703125" customWidth="1"/>
    <col min="14" max="14" width="15.42578125" customWidth="1"/>
    <col min="15" max="15" width="16.85546875" customWidth="1"/>
    <col min="16" max="16" width="7.42578125" customWidth="1"/>
    <col min="17" max="17" width="20.28515625" customWidth="1"/>
  </cols>
  <sheetData>
    <row r="1" spans="1:17" ht="23.25" customHeight="1" x14ac:dyDescent="0.25">
      <c r="A1" s="8"/>
      <c r="B1" s="8"/>
      <c r="C1" s="8"/>
      <c r="D1" s="9" t="s">
        <v>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6.5" customHeight="1" x14ac:dyDescent="0.25">
      <c r="A2" s="8"/>
      <c r="B2" s="8"/>
      <c r="C2" s="8"/>
      <c r="D2" s="10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8" x14ac:dyDescent="0.25">
      <c r="A3" s="8"/>
      <c r="B3" s="8"/>
      <c r="C3" s="8"/>
      <c r="D3" s="11" t="s">
        <v>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8" customHeight="1" x14ac:dyDescent="0.25">
      <c r="A4" s="1"/>
      <c r="B4" s="1"/>
      <c r="C4" s="1"/>
      <c r="D4" s="1"/>
      <c r="E4" s="12" t="s">
        <v>3</v>
      </c>
      <c r="F4" s="12"/>
      <c r="G4" s="12"/>
      <c r="H4" s="13" t="s">
        <v>4</v>
      </c>
      <c r="I4" s="13"/>
      <c r="J4" s="13"/>
      <c r="K4" s="14" t="s">
        <v>5</v>
      </c>
      <c r="L4" s="14"/>
      <c r="M4" s="14"/>
      <c r="N4" s="1"/>
      <c r="O4" s="1"/>
      <c r="P4" s="1"/>
      <c r="Q4" s="1"/>
    </row>
    <row r="5" spans="1:17" ht="36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7" t="s">
        <v>143</v>
      </c>
      <c r="H5" s="1" t="s">
        <v>10</v>
      </c>
      <c r="I5" s="2" t="s">
        <v>12</v>
      </c>
      <c r="J5" s="7" t="s">
        <v>143</v>
      </c>
      <c r="K5" s="1" t="s">
        <v>10</v>
      </c>
      <c r="L5" s="2" t="s">
        <v>185</v>
      </c>
      <c r="M5" s="7" t="s">
        <v>143</v>
      </c>
      <c r="N5" s="1" t="s">
        <v>13</v>
      </c>
      <c r="O5" s="1" t="s">
        <v>14</v>
      </c>
      <c r="P5" s="1" t="s">
        <v>15</v>
      </c>
      <c r="Q5" s="1" t="s">
        <v>16</v>
      </c>
    </row>
    <row r="6" spans="1:17" x14ac:dyDescent="0.25">
      <c r="A6" s="3">
        <v>1</v>
      </c>
      <c r="B6" s="4" t="s">
        <v>132</v>
      </c>
      <c r="C6" s="4" t="s">
        <v>135</v>
      </c>
      <c r="D6" s="3">
        <v>10</v>
      </c>
      <c r="E6" s="3">
        <f>20-F6</f>
        <v>2</v>
      </c>
      <c r="F6" s="5">
        <v>18</v>
      </c>
      <c r="G6" s="3">
        <f>IF(L6="","",F6*2.5)</f>
        <v>45</v>
      </c>
      <c r="H6" s="3">
        <f>20-I6</f>
        <v>1</v>
      </c>
      <c r="I6" s="5">
        <v>19</v>
      </c>
      <c r="J6" s="3">
        <f>IF(L6="","",I6*1.5)</f>
        <v>28.5</v>
      </c>
      <c r="K6" s="3">
        <f>10-L6</f>
        <v>4</v>
      </c>
      <c r="L6" s="5">
        <v>6</v>
      </c>
      <c r="M6" s="3">
        <f>IF(L6="","",L6*1)</f>
        <v>6</v>
      </c>
      <c r="N6" s="3">
        <f>ROUND(((G6+J6+M6)/90)*100,1)</f>
        <v>88.3</v>
      </c>
      <c r="O6" s="5"/>
      <c r="P6" s="15">
        <v>1</v>
      </c>
      <c r="Q6" s="4" t="s">
        <v>136</v>
      </c>
    </row>
    <row r="7" spans="1:17" x14ac:dyDescent="0.25">
      <c r="A7" s="3">
        <v>2</v>
      </c>
      <c r="B7" s="4" t="s">
        <v>97</v>
      </c>
      <c r="C7" s="4" t="s">
        <v>98</v>
      </c>
      <c r="D7" s="3">
        <v>10</v>
      </c>
      <c r="E7" s="3">
        <f>20-F7</f>
        <v>2</v>
      </c>
      <c r="F7" s="5">
        <v>18</v>
      </c>
      <c r="G7" s="3">
        <f>IF(L7="","",F7*2.5)</f>
        <v>45</v>
      </c>
      <c r="H7" s="3">
        <f>20-I7</f>
        <v>1</v>
      </c>
      <c r="I7" s="5">
        <v>19</v>
      </c>
      <c r="J7" s="3">
        <f>IF(L7="","",I7*1.5)</f>
        <v>28.5</v>
      </c>
      <c r="K7" s="3">
        <f>10-L7</f>
        <v>5</v>
      </c>
      <c r="L7" s="5">
        <v>5</v>
      </c>
      <c r="M7" s="3">
        <f>IF(L7="","",L7*1)</f>
        <v>5</v>
      </c>
      <c r="N7" s="3">
        <f>ROUND(((G7+J7+M7)/90)*100,1)</f>
        <v>87.2</v>
      </c>
      <c r="O7" s="5"/>
      <c r="P7" s="15">
        <v>1</v>
      </c>
      <c r="Q7" s="4" t="s">
        <v>99</v>
      </c>
    </row>
    <row r="8" spans="1:17" x14ac:dyDescent="0.25">
      <c r="A8" s="3">
        <v>3</v>
      </c>
      <c r="B8" s="4" t="s">
        <v>86</v>
      </c>
      <c r="C8" s="4" t="s">
        <v>87</v>
      </c>
      <c r="D8" s="3">
        <v>10</v>
      </c>
      <c r="E8" s="3">
        <f>20-F8</f>
        <v>5</v>
      </c>
      <c r="F8" s="5">
        <v>15</v>
      </c>
      <c r="G8" s="3">
        <f>IF(L8="","",F8*2.5)</f>
        <v>37.5</v>
      </c>
      <c r="H8" s="3">
        <f>20-I8</f>
        <v>0</v>
      </c>
      <c r="I8" s="5">
        <v>20</v>
      </c>
      <c r="J8" s="3">
        <f>IF(L8="","",I8*1.5)</f>
        <v>30</v>
      </c>
      <c r="K8" s="3">
        <f>10-L8</f>
        <v>3</v>
      </c>
      <c r="L8" s="5">
        <v>7</v>
      </c>
      <c r="M8" s="3">
        <f>IF(L8="","",L8*1)</f>
        <v>7</v>
      </c>
      <c r="N8" s="3">
        <f>ROUND(((G8+J8+M8)/90)*100,1)</f>
        <v>82.8</v>
      </c>
      <c r="O8" s="5"/>
      <c r="P8" s="15">
        <v>0.75</v>
      </c>
      <c r="Q8" s="4" t="s">
        <v>88</v>
      </c>
    </row>
    <row r="9" spans="1:17" x14ac:dyDescent="0.25">
      <c r="A9" s="3">
        <v>4</v>
      </c>
      <c r="B9" s="4" t="s">
        <v>144</v>
      </c>
      <c r="C9" s="4" t="s">
        <v>145</v>
      </c>
      <c r="D9" s="3">
        <v>10</v>
      </c>
      <c r="E9" s="3">
        <f>20-F9</f>
        <v>4</v>
      </c>
      <c r="F9" s="5">
        <v>16</v>
      </c>
      <c r="G9" s="3">
        <f>IF(L9="","",F9*2.5)</f>
        <v>40</v>
      </c>
      <c r="H9" s="3">
        <f>20-I9</f>
        <v>1</v>
      </c>
      <c r="I9" s="5">
        <v>19</v>
      </c>
      <c r="J9" s="3">
        <f>IF(L9="","",I9*1.5)</f>
        <v>28.5</v>
      </c>
      <c r="K9" s="3">
        <f>10-L9</f>
        <v>5</v>
      </c>
      <c r="L9" s="5">
        <v>5</v>
      </c>
      <c r="M9" s="3">
        <f>IF(L9="","",L9*1)</f>
        <v>5</v>
      </c>
      <c r="N9" s="3">
        <f>ROUND(((G9+J9+M9)/90)*100,1)</f>
        <v>81.7</v>
      </c>
      <c r="O9" s="5"/>
      <c r="P9" s="15">
        <v>0.75</v>
      </c>
      <c r="Q9" s="4">
        <v>998332186561</v>
      </c>
    </row>
    <row r="10" spans="1:17" x14ac:dyDescent="0.25">
      <c r="A10" s="3">
        <v>5</v>
      </c>
      <c r="B10" s="4" t="s">
        <v>28</v>
      </c>
      <c r="C10" s="4" t="s">
        <v>29</v>
      </c>
      <c r="D10" s="3">
        <v>10</v>
      </c>
      <c r="E10" s="3">
        <f>20-F10</f>
        <v>5</v>
      </c>
      <c r="F10" s="5">
        <v>15</v>
      </c>
      <c r="G10" s="3">
        <f>IF(L10="","",F10*2.5)</f>
        <v>37.5</v>
      </c>
      <c r="H10" s="3">
        <f>20-I10</f>
        <v>2</v>
      </c>
      <c r="I10" s="5">
        <v>18</v>
      </c>
      <c r="J10" s="3">
        <f>IF(L10="","",I10*1.5)</f>
        <v>27</v>
      </c>
      <c r="K10" s="3">
        <f>10-L10</f>
        <v>2</v>
      </c>
      <c r="L10" s="5">
        <v>8</v>
      </c>
      <c r="M10" s="3">
        <f>IF(L10="","",L10*1)</f>
        <v>8</v>
      </c>
      <c r="N10" s="3">
        <f>ROUND(((G10+J10+M10)/90)*100,1)</f>
        <v>80.599999999999994</v>
      </c>
      <c r="O10" s="5"/>
      <c r="P10" s="15">
        <v>0.5</v>
      </c>
      <c r="Q10" s="4" t="s">
        <v>30</v>
      </c>
    </row>
    <row r="11" spans="1:17" x14ac:dyDescent="0.25">
      <c r="A11" s="3">
        <v>6</v>
      </c>
      <c r="B11" s="4" t="s">
        <v>157</v>
      </c>
      <c r="C11" s="4" t="s">
        <v>158</v>
      </c>
      <c r="D11" s="3">
        <v>10</v>
      </c>
      <c r="E11" s="3">
        <f>20-F11</f>
        <v>4</v>
      </c>
      <c r="F11" s="5">
        <v>16</v>
      </c>
      <c r="G11" s="3">
        <f>IF(L11="","",F11*2.5)</f>
        <v>40</v>
      </c>
      <c r="H11" s="3">
        <f>20-I11</f>
        <v>1</v>
      </c>
      <c r="I11" s="5">
        <v>19</v>
      </c>
      <c r="J11" s="3">
        <f>IF(L11="","",I11*1.5)</f>
        <v>28.5</v>
      </c>
      <c r="K11" s="3">
        <f>10-L11</f>
        <v>6</v>
      </c>
      <c r="L11" s="5">
        <v>4</v>
      </c>
      <c r="M11" s="3">
        <f>IF(L11="","",L11*1)</f>
        <v>4</v>
      </c>
      <c r="N11" s="3">
        <f>ROUND(((G11+J11+M11)/90)*100,1)</f>
        <v>80.599999999999994</v>
      </c>
      <c r="O11" s="5"/>
      <c r="P11" s="15">
        <v>0.5</v>
      </c>
      <c r="Q11" s="4"/>
    </row>
    <row r="12" spans="1:17" x14ac:dyDescent="0.25">
      <c r="A12" s="3">
        <v>7</v>
      </c>
      <c r="B12" s="4" t="s">
        <v>174</v>
      </c>
      <c r="C12" s="4" t="s">
        <v>173</v>
      </c>
      <c r="D12" s="3">
        <v>10</v>
      </c>
      <c r="E12" s="3">
        <f>20-F12</f>
        <v>6</v>
      </c>
      <c r="F12" s="5">
        <v>14</v>
      </c>
      <c r="G12" s="3">
        <f>IF(L12="","",F12*2.5)</f>
        <v>35</v>
      </c>
      <c r="H12" s="3">
        <f>20-I12</f>
        <v>0</v>
      </c>
      <c r="I12" s="5">
        <v>20</v>
      </c>
      <c r="J12" s="3">
        <f>IF(L12="","",I12*1.5)</f>
        <v>30</v>
      </c>
      <c r="K12" s="3">
        <f>10-L12</f>
        <v>3</v>
      </c>
      <c r="L12" s="5">
        <v>7</v>
      </c>
      <c r="M12" s="3">
        <f>IF(L12="","",L12*1)</f>
        <v>7</v>
      </c>
      <c r="N12" s="3">
        <f>ROUND(((G12+J12+M12)/90)*100,1)</f>
        <v>80</v>
      </c>
      <c r="O12" s="5"/>
      <c r="P12" s="15">
        <v>0.5</v>
      </c>
      <c r="Q12" s="4"/>
    </row>
    <row r="13" spans="1:17" x14ac:dyDescent="0.25">
      <c r="A13" s="3">
        <v>8</v>
      </c>
      <c r="B13" s="4" t="s">
        <v>62</v>
      </c>
      <c r="C13" s="4" t="s">
        <v>63</v>
      </c>
      <c r="D13" s="3">
        <v>10</v>
      </c>
      <c r="E13" s="3">
        <f>20-F13</f>
        <v>8</v>
      </c>
      <c r="F13" s="5">
        <v>12</v>
      </c>
      <c r="G13" s="3">
        <f>IF(L13="","",F13*2.5)</f>
        <v>30</v>
      </c>
      <c r="H13" s="3">
        <f>20-I13</f>
        <v>1</v>
      </c>
      <c r="I13" s="5">
        <v>19</v>
      </c>
      <c r="J13" s="3">
        <f>IF(L13="","",I13*1.5)</f>
        <v>28.5</v>
      </c>
      <c r="K13" s="3">
        <f>10-L13</f>
        <v>2</v>
      </c>
      <c r="L13" s="5">
        <v>8</v>
      </c>
      <c r="M13" s="3">
        <f>IF(L13="","",L13*1)</f>
        <v>8</v>
      </c>
      <c r="N13" s="3">
        <f>ROUND(((G13+J13+M13)/90)*100,1)</f>
        <v>73.900000000000006</v>
      </c>
      <c r="O13" s="5"/>
      <c r="P13" s="15">
        <v>0.3</v>
      </c>
      <c r="Q13" s="4" t="s">
        <v>64</v>
      </c>
    </row>
    <row r="14" spans="1:17" x14ac:dyDescent="0.25">
      <c r="A14" s="3">
        <v>9</v>
      </c>
      <c r="B14" s="4" t="s">
        <v>112</v>
      </c>
      <c r="C14" s="4" t="s">
        <v>113</v>
      </c>
      <c r="D14" s="3">
        <v>10</v>
      </c>
      <c r="E14" s="3">
        <f>20-F14</f>
        <v>8</v>
      </c>
      <c r="F14" s="5">
        <v>12</v>
      </c>
      <c r="G14" s="3">
        <f>IF(L14="","",F14*2.5)</f>
        <v>30</v>
      </c>
      <c r="H14" s="3">
        <f>20-I14</f>
        <v>1</v>
      </c>
      <c r="I14" s="5">
        <v>19</v>
      </c>
      <c r="J14" s="3">
        <f>IF(L14="","",I14*1.5)</f>
        <v>28.5</v>
      </c>
      <c r="K14" s="3">
        <f>10-L14</f>
        <v>2</v>
      </c>
      <c r="L14" s="5">
        <v>8</v>
      </c>
      <c r="M14" s="3">
        <f>IF(L14="","",L14*1)</f>
        <v>8</v>
      </c>
      <c r="N14" s="3">
        <f>ROUND(((G14+J14+M14)/90)*100,1)</f>
        <v>73.900000000000006</v>
      </c>
      <c r="O14" s="5"/>
      <c r="P14" s="15">
        <v>0.3</v>
      </c>
      <c r="Q14" s="4" t="s">
        <v>114</v>
      </c>
    </row>
    <row r="15" spans="1:17" x14ac:dyDescent="0.25">
      <c r="A15" s="3">
        <v>10</v>
      </c>
      <c r="B15" s="4" t="s">
        <v>25</v>
      </c>
      <c r="C15" s="4" t="s">
        <v>26</v>
      </c>
      <c r="D15" s="3">
        <v>10</v>
      </c>
      <c r="E15" s="3">
        <f>20-F15</f>
        <v>7</v>
      </c>
      <c r="F15" s="5">
        <v>13</v>
      </c>
      <c r="G15" s="3">
        <f>IF(L15="","",F15*2.5)</f>
        <v>32.5</v>
      </c>
      <c r="H15" s="3">
        <f>20-I15</f>
        <v>1</v>
      </c>
      <c r="I15" s="5">
        <v>19</v>
      </c>
      <c r="J15" s="3">
        <f>IF(L15="","",I15*1.5)</f>
        <v>28.5</v>
      </c>
      <c r="K15" s="3">
        <f>10-L15</f>
        <v>5</v>
      </c>
      <c r="L15" s="5">
        <v>5</v>
      </c>
      <c r="M15" s="3">
        <f>IF(L15="","",L15*1)</f>
        <v>5</v>
      </c>
      <c r="N15" s="3">
        <f>ROUND(((G15+J15+M15)/90)*100,1)</f>
        <v>73.3</v>
      </c>
      <c r="O15" s="5"/>
      <c r="P15" s="15">
        <v>0.3</v>
      </c>
      <c r="Q15" s="4" t="s">
        <v>27</v>
      </c>
    </row>
    <row r="16" spans="1:17" x14ac:dyDescent="0.25">
      <c r="A16" s="3">
        <v>11</v>
      </c>
      <c r="B16" s="4" t="s">
        <v>42</v>
      </c>
      <c r="C16" s="4" t="s">
        <v>43</v>
      </c>
      <c r="D16" s="3">
        <v>10</v>
      </c>
      <c r="E16" s="3">
        <f>20-F16</f>
        <v>5</v>
      </c>
      <c r="F16" s="5">
        <v>15</v>
      </c>
      <c r="G16" s="3">
        <f>IF(L16="","",F16*2.5)</f>
        <v>37.5</v>
      </c>
      <c r="H16" s="3">
        <f>20-I16</f>
        <v>4</v>
      </c>
      <c r="I16" s="5">
        <v>16</v>
      </c>
      <c r="J16" s="3">
        <f>IF(L16="","",I16*1.5)</f>
        <v>24</v>
      </c>
      <c r="K16" s="3">
        <f>10-L16</f>
        <v>6</v>
      </c>
      <c r="L16" s="5">
        <v>4</v>
      </c>
      <c r="M16" s="3">
        <f>IF(L16="","",L16*1)</f>
        <v>4</v>
      </c>
      <c r="N16" s="3">
        <f>ROUND(((G16+J16+M16)/90)*100,1)</f>
        <v>72.8</v>
      </c>
      <c r="O16" s="5"/>
      <c r="P16" s="15">
        <v>0.3</v>
      </c>
      <c r="Q16" s="4" t="s">
        <v>44</v>
      </c>
    </row>
    <row r="17" spans="1:17" x14ac:dyDescent="0.25">
      <c r="A17" s="3">
        <v>12</v>
      </c>
      <c r="B17" s="4" t="s">
        <v>120</v>
      </c>
      <c r="C17" s="4" t="s">
        <v>121</v>
      </c>
      <c r="D17" s="3">
        <v>10</v>
      </c>
      <c r="E17" s="3">
        <f>20-F17</f>
        <v>8</v>
      </c>
      <c r="F17" s="5">
        <v>12</v>
      </c>
      <c r="G17" s="3">
        <f>IF(L17="","",F17*2.5)</f>
        <v>30</v>
      </c>
      <c r="H17" s="3">
        <f>20-I17</f>
        <v>1</v>
      </c>
      <c r="I17" s="5">
        <v>19</v>
      </c>
      <c r="J17" s="3">
        <f>IF(L17="","",I17*1.5)</f>
        <v>28.5</v>
      </c>
      <c r="K17" s="3">
        <f>10-L17</f>
        <v>3</v>
      </c>
      <c r="L17" s="5">
        <v>7</v>
      </c>
      <c r="M17" s="3">
        <f>IF(L17="","",L17*1)</f>
        <v>7</v>
      </c>
      <c r="N17" s="3">
        <f>ROUND(((G17+J17+M17)/90)*100,1)</f>
        <v>72.8</v>
      </c>
      <c r="O17" s="5"/>
      <c r="P17" s="15">
        <v>0.3</v>
      </c>
      <c r="Q17" s="4" t="s">
        <v>122</v>
      </c>
    </row>
    <row r="18" spans="1:17" x14ac:dyDescent="0.25">
      <c r="A18" s="3">
        <v>13</v>
      </c>
      <c r="B18" s="4" t="s">
        <v>151</v>
      </c>
      <c r="C18" s="4" t="s">
        <v>152</v>
      </c>
      <c r="D18" s="3">
        <v>10</v>
      </c>
      <c r="E18" s="3">
        <f>20-F18</f>
        <v>5</v>
      </c>
      <c r="F18" s="5">
        <v>15</v>
      </c>
      <c r="G18" s="3">
        <f>IF(L18="","",F18*2.5)</f>
        <v>37.5</v>
      </c>
      <c r="H18" s="3">
        <f>20-I18</f>
        <v>3</v>
      </c>
      <c r="I18" s="5">
        <v>17</v>
      </c>
      <c r="J18" s="3">
        <f>IF(L18="","",I18*1.5)</f>
        <v>25.5</v>
      </c>
      <c r="K18" s="3">
        <f>10-L18</f>
        <v>8</v>
      </c>
      <c r="L18" s="5">
        <v>2</v>
      </c>
      <c r="M18" s="3">
        <f>IF(L18="","",L18*1)</f>
        <v>2</v>
      </c>
      <c r="N18" s="3">
        <f>ROUND(((G18+J18+M18)/90)*100,1)</f>
        <v>72.2</v>
      </c>
      <c r="O18" s="5"/>
      <c r="P18" s="15">
        <v>0.3</v>
      </c>
      <c r="Q18" s="4"/>
    </row>
    <row r="19" spans="1:17" x14ac:dyDescent="0.25">
      <c r="A19" s="3">
        <v>14</v>
      </c>
      <c r="B19" s="4" t="s">
        <v>155</v>
      </c>
      <c r="C19" s="4" t="s">
        <v>156</v>
      </c>
      <c r="D19" s="3">
        <v>10</v>
      </c>
      <c r="E19" s="3">
        <f>20-F19</f>
        <v>7</v>
      </c>
      <c r="F19" s="5">
        <v>13</v>
      </c>
      <c r="G19" s="3">
        <f>IF(L19="","",F19*2.5)</f>
        <v>32.5</v>
      </c>
      <c r="H19" s="3">
        <f>20-I19</f>
        <v>1</v>
      </c>
      <c r="I19" s="5">
        <v>19</v>
      </c>
      <c r="J19" s="3">
        <f>IF(L19="","",I19*1.5)</f>
        <v>28.5</v>
      </c>
      <c r="K19" s="3">
        <f>10-L19</f>
        <v>7</v>
      </c>
      <c r="L19" s="5">
        <v>3</v>
      </c>
      <c r="M19" s="3">
        <f>IF(L19="","",L19*1)</f>
        <v>3</v>
      </c>
      <c r="N19" s="3">
        <f>ROUND(((G19+J19+M19)/90)*100,1)</f>
        <v>71.099999999999994</v>
      </c>
      <c r="O19" s="5"/>
      <c r="P19" s="15">
        <v>0.3</v>
      </c>
      <c r="Q19" s="4"/>
    </row>
    <row r="20" spans="1:17" x14ac:dyDescent="0.25">
      <c r="A20" s="3">
        <v>15</v>
      </c>
      <c r="B20" s="4" t="s">
        <v>103</v>
      </c>
      <c r="C20" s="4" t="s">
        <v>104</v>
      </c>
      <c r="D20" s="3">
        <v>10</v>
      </c>
      <c r="E20" s="3">
        <f>20-F20</f>
        <v>8</v>
      </c>
      <c r="F20" s="5">
        <v>12</v>
      </c>
      <c r="G20" s="3">
        <f>IF(L20="","",F20*2.5)</f>
        <v>30</v>
      </c>
      <c r="H20" s="3">
        <f>20-I20</f>
        <v>1</v>
      </c>
      <c r="I20" s="5">
        <v>19</v>
      </c>
      <c r="J20" s="3">
        <f>IF(L20="","",I20*1.5)</f>
        <v>28.5</v>
      </c>
      <c r="K20" s="3">
        <f>10-L20</f>
        <v>6</v>
      </c>
      <c r="L20" s="5">
        <v>4</v>
      </c>
      <c r="M20" s="3">
        <f>IF(L20="","",L20*1)</f>
        <v>4</v>
      </c>
      <c r="N20" s="3">
        <f>ROUND(((G20+J20+M20)/90)*100,1)</f>
        <v>69.400000000000006</v>
      </c>
      <c r="O20" s="5"/>
      <c r="P20" s="15">
        <v>0.3</v>
      </c>
      <c r="Q20" s="4" t="s">
        <v>105</v>
      </c>
    </row>
    <row r="21" spans="1:17" x14ac:dyDescent="0.25">
      <c r="A21" s="3">
        <v>16</v>
      </c>
      <c r="B21" s="4" t="s">
        <v>37</v>
      </c>
      <c r="C21" s="4" t="s">
        <v>38</v>
      </c>
      <c r="D21" s="3">
        <v>10</v>
      </c>
      <c r="E21" s="3">
        <f>20-F21</f>
        <v>5</v>
      </c>
      <c r="F21" s="5">
        <v>15</v>
      </c>
      <c r="G21" s="3">
        <f>IF(L21="","",F21*2.5)</f>
        <v>37.5</v>
      </c>
      <c r="H21" s="3">
        <f>20-I21</f>
        <v>5</v>
      </c>
      <c r="I21" s="5">
        <v>15</v>
      </c>
      <c r="J21" s="3">
        <f>IF(L21="","",I21*1.5)</f>
        <v>22.5</v>
      </c>
      <c r="K21" s="3">
        <f>10-L21</f>
        <v>8</v>
      </c>
      <c r="L21" s="5">
        <v>2</v>
      </c>
      <c r="M21" s="3">
        <f>IF(L21="","",L21*1)</f>
        <v>2</v>
      </c>
      <c r="N21" s="3">
        <f>ROUND(((G21+J21+M21)/90)*100,1)</f>
        <v>68.900000000000006</v>
      </c>
      <c r="O21" s="5"/>
      <c r="P21" s="15">
        <v>0.3</v>
      </c>
      <c r="Q21" s="4" t="s">
        <v>39</v>
      </c>
    </row>
    <row r="22" spans="1:17" x14ac:dyDescent="0.25">
      <c r="A22" s="3">
        <v>17</v>
      </c>
      <c r="B22" s="4" t="s">
        <v>34</v>
      </c>
      <c r="C22" s="4" t="s">
        <v>35</v>
      </c>
      <c r="D22" s="3">
        <v>10</v>
      </c>
      <c r="E22" s="3">
        <f>20-F22</f>
        <v>8</v>
      </c>
      <c r="F22" s="5">
        <v>12</v>
      </c>
      <c r="G22" s="3">
        <f>IF(L22="","",F22*2.5)</f>
        <v>30</v>
      </c>
      <c r="H22" s="3">
        <f>20-I22</f>
        <v>1</v>
      </c>
      <c r="I22" s="5">
        <v>19</v>
      </c>
      <c r="J22" s="3">
        <f>IF(L22="","",I22*1.5)</f>
        <v>28.5</v>
      </c>
      <c r="K22" s="3">
        <f>10-L22</f>
        <v>7</v>
      </c>
      <c r="L22" s="5">
        <v>3</v>
      </c>
      <c r="M22" s="3">
        <f>IF(L22="","",L22*1)</f>
        <v>3</v>
      </c>
      <c r="N22" s="3">
        <f>ROUND(((G22+J22+M22)/90)*100,1)</f>
        <v>68.3</v>
      </c>
      <c r="O22" s="5"/>
      <c r="P22" s="15">
        <v>0.3</v>
      </c>
      <c r="Q22" s="4" t="s">
        <v>36</v>
      </c>
    </row>
    <row r="23" spans="1:17" x14ac:dyDescent="0.25">
      <c r="A23" s="3">
        <v>18</v>
      </c>
      <c r="B23" s="4" t="s">
        <v>17</v>
      </c>
      <c r="C23" s="4" t="s">
        <v>18</v>
      </c>
      <c r="D23" s="3">
        <v>10</v>
      </c>
      <c r="E23" s="3">
        <f>20-F23</f>
        <v>8</v>
      </c>
      <c r="F23" s="5">
        <v>12</v>
      </c>
      <c r="G23" s="3">
        <f>IF(L23="","",F23*2.5)</f>
        <v>30</v>
      </c>
      <c r="H23" s="3">
        <f>20-I23</f>
        <v>8</v>
      </c>
      <c r="I23" s="5">
        <v>12</v>
      </c>
      <c r="J23" s="3">
        <f>IF(L23="","",I23*1.5)</f>
        <v>18</v>
      </c>
      <c r="K23" s="3">
        <f>10-L23</f>
        <v>2</v>
      </c>
      <c r="L23" s="5">
        <v>8</v>
      </c>
      <c r="M23" s="3">
        <f>IF(L23="","",L23*1)</f>
        <v>8</v>
      </c>
      <c r="N23" s="3">
        <f>ROUND(((G23+J23+M23)/90)*100,1)</f>
        <v>62.2</v>
      </c>
      <c r="O23" s="5"/>
      <c r="P23" s="15">
        <v>0.25</v>
      </c>
      <c r="Q23" s="4" t="s">
        <v>19</v>
      </c>
    </row>
    <row r="24" spans="1:17" x14ac:dyDescent="0.25">
      <c r="A24" s="3">
        <v>19</v>
      </c>
      <c r="B24" s="4" t="s">
        <v>153</v>
      </c>
      <c r="C24" s="4" t="s">
        <v>154</v>
      </c>
      <c r="D24" s="3">
        <v>10</v>
      </c>
      <c r="E24" s="3">
        <f>20-F24</f>
        <v>8</v>
      </c>
      <c r="F24" s="5">
        <v>12</v>
      </c>
      <c r="G24" s="3">
        <f>IF(L24="","",F24*2.5)</f>
        <v>30</v>
      </c>
      <c r="H24" s="3">
        <f>20-I24</f>
        <v>6</v>
      </c>
      <c r="I24" s="5">
        <v>14</v>
      </c>
      <c r="J24" s="3">
        <f>IF(L24="","",I24*1.5)</f>
        <v>21</v>
      </c>
      <c r="K24" s="3">
        <f>10-L24</f>
        <v>6</v>
      </c>
      <c r="L24" s="5">
        <v>4</v>
      </c>
      <c r="M24" s="3">
        <f>IF(L24="","",L24*1)</f>
        <v>4</v>
      </c>
      <c r="N24" s="3">
        <f>ROUND(((G24+J24+M24)/90)*100,1)</f>
        <v>61.1</v>
      </c>
      <c r="O24" s="5"/>
      <c r="P24" s="15">
        <v>0.25</v>
      </c>
      <c r="Q24" s="4"/>
    </row>
    <row r="25" spans="1:17" x14ac:dyDescent="0.25">
      <c r="A25" s="3">
        <v>20</v>
      </c>
      <c r="B25" s="4" t="s">
        <v>83</v>
      </c>
      <c r="C25" s="4" t="s">
        <v>84</v>
      </c>
      <c r="D25" s="3">
        <v>10</v>
      </c>
      <c r="E25" s="3">
        <f>20-F25</f>
        <v>12</v>
      </c>
      <c r="F25" s="5">
        <v>8</v>
      </c>
      <c r="G25" s="3">
        <f>IF(L25="","",F25*2.5)</f>
        <v>20</v>
      </c>
      <c r="H25" s="3">
        <f>20-I25</f>
        <v>1</v>
      </c>
      <c r="I25" s="5">
        <v>19</v>
      </c>
      <c r="J25" s="3">
        <f>IF(L25="","",I25*1.5)</f>
        <v>28.5</v>
      </c>
      <c r="K25" s="3">
        <f>10-L25</f>
        <v>4</v>
      </c>
      <c r="L25" s="5">
        <v>6</v>
      </c>
      <c r="M25" s="3">
        <f>IF(L25="","",L25*1)</f>
        <v>6</v>
      </c>
      <c r="N25" s="3">
        <f>ROUND(((G25+J25+M25)/90)*100,1)</f>
        <v>60.6</v>
      </c>
      <c r="O25" s="5"/>
      <c r="P25" s="15">
        <v>0.25</v>
      </c>
      <c r="Q25" s="4" t="s">
        <v>85</v>
      </c>
    </row>
    <row r="26" spans="1:17" x14ac:dyDescent="0.25">
      <c r="A26" s="3">
        <v>21</v>
      </c>
      <c r="B26" s="4" t="s">
        <v>184</v>
      </c>
      <c r="C26" s="4" t="s">
        <v>165</v>
      </c>
      <c r="D26" s="3">
        <v>10</v>
      </c>
      <c r="E26" s="3">
        <f>20-F26</f>
        <v>11</v>
      </c>
      <c r="F26" s="5">
        <v>9</v>
      </c>
      <c r="G26" s="3">
        <f>IF(L26="","",F26*2.5)</f>
        <v>22.5</v>
      </c>
      <c r="H26" s="3">
        <f>20-I26</f>
        <v>5</v>
      </c>
      <c r="I26" s="5">
        <v>15</v>
      </c>
      <c r="J26" s="3">
        <f>IF(L26="","",I26*1.5)</f>
        <v>22.5</v>
      </c>
      <c r="K26" s="3">
        <f>10-L26</f>
        <v>1</v>
      </c>
      <c r="L26" s="5">
        <v>9</v>
      </c>
      <c r="M26" s="3">
        <f>IF(L26="","",L26*1)</f>
        <v>9</v>
      </c>
      <c r="N26" s="3">
        <f>ROUND(((G26+J26+M26)/90)*100,1)</f>
        <v>60</v>
      </c>
      <c r="O26" s="5"/>
      <c r="P26" s="15">
        <v>0.25</v>
      </c>
      <c r="Q26" s="4"/>
    </row>
    <row r="27" spans="1:17" x14ac:dyDescent="0.25">
      <c r="A27" s="3">
        <v>22</v>
      </c>
      <c r="B27" s="4" t="s">
        <v>89</v>
      </c>
      <c r="C27" s="4" t="s">
        <v>45</v>
      </c>
      <c r="D27" s="3">
        <v>10</v>
      </c>
      <c r="E27" s="3">
        <f>20-F27</f>
        <v>11</v>
      </c>
      <c r="F27" s="5">
        <v>9</v>
      </c>
      <c r="G27" s="3">
        <f>IF(L27="","",F27*2.5)</f>
        <v>22.5</v>
      </c>
      <c r="H27" s="3">
        <f>20-I27</f>
        <v>1</v>
      </c>
      <c r="I27" s="5">
        <v>19</v>
      </c>
      <c r="J27" s="3">
        <f>IF(L27="","",I27*1.5)</f>
        <v>28.5</v>
      </c>
      <c r="K27" s="3">
        <f>10-L27</f>
        <v>8</v>
      </c>
      <c r="L27" s="5">
        <v>2</v>
      </c>
      <c r="M27" s="3">
        <f>IF(L27="","",L27*1)</f>
        <v>2</v>
      </c>
      <c r="N27" s="3">
        <f>ROUND(((G27+J27+M27)/90)*100,1)</f>
        <v>58.9</v>
      </c>
      <c r="O27" s="5"/>
      <c r="P27" s="15">
        <v>0.25</v>
      </c>
      <c r="Q27" s="4" t="s">
        <v>90</v>
      </c>
    </row>
    <row r="28" spans="1:17" x14ac:dyDescent="0.25">
      <c r="A28" s="3">
        <v>23</v>
      </c>
      <c r="B28" s="4" t="s">
        <v>132</v>
      </c>
      <c r="C28" s="4" t="s">
        <v>133</v>
      </c>
      <c r="D28" s="3">
        <v>10</v>
      </c>
      <c r="E28" s="3">
        <f>20-F28</f>
        <v>13</v>
      </c>
      <c r="F28" s="5">
        <v>7</v>
      </c>
      <c r="G28" s="3">
        <f>IF(L28="","",F28*2.5)</f>
        <v>17.5</v>
      </c>
      <c r="H28" s="3">
        <f>20-I28</f>
        <v>0</v>
      </c>
      <c r="I28" s="5">
        <v>20</v>
      </c>
      <c r="J28" s="3">
        <f>IF(L28="","",I28*1.5)</f>
        <v>30</v>
      </c>
      <c r="K28" s="3">
        <f>10-L28</f>
        <v>5</v>
      </c>
      <c r="L28" s="5">
        <v>5</v>
      </c>
      <c r="M28" s="3">
        <f>IF(L28="","",L28*1)</f>
        <v>5</v>
      </c>
      <c r="N28" s="3">
        <f>ROUND(((G28+J28+M28)/90)*100,1)</f>
        <v>58.3</v>
      </c>
      <c r="O28" s="5"/>
      <c r="P28" s="15">
        <v>0.25</v>
      </c>
      <c r="Q28" s="4" t="s">
        <v>134</v>
      </c>
    </row>
    <row r="29" spans="1:17" x14ac:dyDescent="0.25">
      <c r="A29" s="3">
        <v>24</v>
      </c>
      <c r="B29" s="4" t="s">
        <v>166</v>
      </c>
      <c r="C29" s="4" t="s">
        <v>167</v>
      </c>
      <c r="D29" s="3">
        <v>10</v>
      </c>
      <c r="E29" s="3">
        <f>20-F29</f>
        <v>13</v>
      </c>
      <c r="F29" s="5">
        <v>7</v>
      </c>
      <c r="G29" s="3">
        <f>IF(L29="","",F29*2.5)</f>
        <v>17.5</v>
      </c>
      <c r="H29" s="3">
        <f>20-I29</f>
        <v>0</v>
      </c>
      <c r="I29" s="5">
        <v>20</v>
      </c>
      <c r="J29" s="3">
        <f>IF(L29="","",I29*1.5)</f>
        <v>30</v>
      </c>
      <c r="K29" s="3">
        <f>10-L29</f>
        <v>5</v>
      </c>
      <c r="L29" s="5">
        <v>5</v>
      </c>
      <c r="M29" s="3">
        <f>IF(L29="","",L29*1)</f>
        <v>5</v>
      </c>
      <c r="N29" s="3">
        <f>ROUND(((G29+J29+M29)/90)*100,1)</f>
        <v>58.3</v>
      </c>
      <c r="O29" s="5"/>
      <c r="P29" s="15">
        <v>0.25</v>
      </c>
      <c r="Q29" s="4"/>
    </row>
    <row r="30" spans="1:17" x14ac:dyDescent="0.25">
      <c r="A30" s="3">
        <v>25</v>
      </c>
      <c r="B30" s="4" t="s">
        <v>126</v>
      </c>
      <c r="C30" s="4" t="s">
        <v>127</v>
      </c>
      <c r="D30" s="3">
        <v>10</v>
      </c>
      <c r="E30" s="3">
        <f>20-F30</f>
        <v>11</v>
      </c>
      <c r="F30" s="5">
        <v>9</v>
      </c>
      <c r="G30" s="3">
        <f>IF(L30="","",F30*2.5)</f>
        <v>22.5</v>
      </c>
      <c r="H30" s="3">
        <f>20-I30</f>
        <v>3</v>
      </c>
      <c r="I30" s="5">
        <v>17</v>
      </c>
      <c r="J30" s="3">
        <f>IF(L30="","",I30*1.5)</f>
        <v>25.5</v>
      </c>
      <c r="K30" s="3">
        <f>10-L30</f>
        <v>6</v>
      </c>
      <c r="L30" s="5">
        <v>4</v>
      </c>
      <c r="M30" s="3">
        <f>IF(L30="","",L30*1)</f>
        <v>4</v>
      </c>
      <c r="N30" s="3">
        <f>ROUND(((G30+J30+M30)/90)*100,1)</f>
        <v>57.8</v>
      </c>
      <c r="O30" s="5"/>
      <c r="P30" s="15">
        <v>0.25</v>
      </c>
      <c r="Q30" s="4" t="s">
        <v>128</v>
      </c>
    </row>
    <row r="31" spans="1:17" x14ac:dyDescent="0.25">
      <c r="A31" s="3">
        <v>26</v>
      </c>
      <c r="B31" s="4" t="s">
        <v>181</v>
      </c>
      <c r="C31" s="4" t="s">
        <v>182</v>
      </c>
      <c r="D31" s="3">
        <v>10</v>
      </c>
      <c r="E31" s="3">
        <f>20-F31</f>
        <v>13</v>
      </c>
      <c r="F31" s="5">
        <v>7</v>
      </c>
      <c r="G31" s="3">
        <f>IF(L31="","",F31*2.5)</f>
        <v>17.5</v>
      </c>
      <c r="H31" s="3">
        <f>20-I31</f>
        <v>1</v>
      </c>
      <c r="I31" s="5">
        <v>19</v>
      </c>
      <c r="J31" s="3">
        <f>IF(L31="","",I31*1.5)</f>
        <v>28.5</v>
      </c>
      <c r="K31" s="3">
        <f>10-L31</f>
        <v>5</v>
      </c>
      <c r="L31" s="5">
        <v>5</v>
      </c>
      <c r="M31" s="3">
        <f>IF(L31="","",L31*1)</f>
        <v>5</v>
      </c>
      <c r="N31" s="3">
        <f>ROUND(((G31+J31+M31)/90)*100,1)</f>
        <v>56.7</v>
      </c>
      <c r="O31" s="5"/>
      <c r="P31" s="15">
        <v>0.25</v>
      </c>
      <c r="Q31" s="4"/>
    </row>
    <row r="32" spans="1:17" x14ac:dyDescent="0.25">
      <c r="A32" s="3">
        <v>27</v>
      </c>
      <c r="B32" s="4" t="s">
        <v>177</v>
      </c>
      <c r="C32" s="4" t="s">
        <v>178</v>
      </c>
      <c r="D32" s="3">
        <v>10</v>
      </c>
      <c r="E32" s="3">
        <f>20-F32</f>
        <v>12</v>
      </c>
      <c r="F32" s="5">
        <v>8</v>
      </c>
      <c r="G32" s="3">
        <f>IF(L32="","",F32*2.5)</f>
        <v>20</v>
      </c>
      <c r="H32" s="3">
        <f>20-I32</f>
        <v>5</v>
      </c>
      <c r="I32" s="5">
        <v>15</v>
      </c>
      <c r="J32" s="3">
        <f>IF(L32="","",I32*1.5)</f>
        <v>22.5</v>
      </c>
      <c r="K32" s="3">
        <f>10-L32</f>
        <v>2</v>
      </c>
      <c r="L32" s="5">
        <v>8</v>
      </c>
      <c r="M32" s="3">
        <f>IF(L32="","",L32*1)</f>
        <v>8</v>
      </c>
      <c r="N32" s="3">
        <f>ROUND(((G32+J32+M32)/90)*100,1)</f>
        <v>56.1</v>
      </c>
      <c r="O32" s="5"/>
      <c r="P32" s="15">
        <v>0.25</v>
      </c>
      <c r="Q32" s="4"/>
    </row>
    <row r="33" spans="1:17" x14ac:dyDescent="0.25">
      <c r="A33" s="3">
        <v>28</v>
      </c>
      <c r="B33" s="4" t="s">
        <v>20</v>
      </c>
      <c r="C33" s="4" t="s">
        <v>21</v>
      </c>
      <c r="D33" s="3">
        <v>10</v>
      </c>
      <c r="E33" s="3">
        <f>20-F33</f>
        <v>14</v>
      </c>
      <c r="F33" s="5">
        <v>6</v>
      </c>
      <c r="G33" s="3">
        <f>IF(L33="","",F33*2.5)</f>
        <v>15</v>
      </c>
      <c r="H33" s="3">
        <f>20-I33</f>
        <v>0</v>
      </c>
      <c r="I33" s="5">
        <v>20</v>
      </c>
      <c r="J33" s="3">
        <f>IF(L33="","",I33*1.5)</f>
        <v>30</v>
      </c>
      <c r="K33" s="3">
        <f>10-L33</f>
        <v>5</v>
      </c>
      <c r="L33" s="5">
        <v>5</v>
      </c>
      <c r="M33" s="3">
        <f>IF(L33="","",L33*1)</f>
        <v>5</v>
      </c>
      <c r="N33" s="3">
        <f>ROUND(((G33+J33+M33)/90)*100,1)</f>
        <v>55.6</v>
      </c>
      <c r="O33" s="5"/>
      <c r="P33" s="15">
        <v>0.25</v>
      </c>
      <c r="Q33" s="4" t="s">
        <v>22</v>
      </c>
    </row>
    <row r="34" spans="1:17" x14ac:dyDescent="0.25">
      <c r="A34" s="3">
        <v>29</v>
      </c>
      <c r="B34" s="4" t="s">
        <v>54</v>
      </c>
      <c r="C34" s="4" t="s">
        <v>57</v>
      </c>
      <c r="D34" s="3">
        <v>10</v>
      </c>
      <c r="E34" s="3">
        <f>20-F34</f>
        <v>14</v>
      </c>
      <c r="F34" s="5">
        <v>6</v>
      </c>
      <c r="G34" s="3">
        <f>IF(L34="","",F34*2.5)</f>
        <v>15</v>
      </c>
      <c r="H34" s="3">
        <f>20-I34</f>
        <v>0</v>
      </c>
      <c r="I34" s="5">
        <v>20</v>
      </c>
      <c r="J34" s="3">
        <f>IF(L34="","",I34*1.5)</f>
        <v>30</v>
      </c>
      <c r="K34" s="3">
        <f>10-L34</f>
        <v>5</v>
      </c>
      <c r="L34" s="5">
        <v>5</v>
      </c>
      <c r="M34" s="3">
        <f>IF(L34="","",L34*1)</f>
        <v>5</v>
      </c>
      <c r="N34" s="3">
        <f>ROUND(((G34+J34+M34)/90)*100,1)</f>
        <v>55.6</v>
      </c>
      <c r="O34" s="5"/>
      <c r="P34" s="15">
        <v>0.25</v>
      </c>
      <c r="Q34" s="4" t="s">
        <v>58</v>
      </c>
    </row>
    <row r="35" spans="1:17" x14ac:dyDescent="0.25">
      <c r="A35" s="3">
        <v>30</v>
      </c>
      <c r="B35" s="4" t="s">
        <v>180</v>
      </c>
      <c r="C35" s="4" t="s">
        <v>179</v>
      </c>
      <c r="D35" s="3">
        <v>10</v>
      </c>
      <c r="E35" s="3">
        <f>20-F35</f>
        <v>12</v>
      </c>
      <c r="F35" s="5">
        <v>8</v>
      </c>
      <c r="G35" s="3">
        <f>IF(L35="","",F35*2.5)</f>
        <v>20</v>
      </c>
      <c r="H35" s="3">
        <f>20-I35</f>
        <v>3</v>
      </c>
      <c r="I35" s="5">
        <v>17</v>
      </c>
      <c r="J35" s="3">
        <f>IF(L35="","",I35*1.5)</f>
        <v>25.5</v>
      </c>
      <c r="K35" s="3">
        <f>10-L35</f>
        <v>6</v>
      </c>
      <c r="L35" s="5">
        <v>4</v>
      </c>
      <c r="M35" s="3">
        <f>IF(L35="","",L35*1)</f>
        <v>4</v>
      </c>
      <c r="N35" s="3">
        <f>ROUND(((G35+J35+M35)/90)*100,1)</f>
        <v>55</v>
      </c>
      <c r="O35" s="5"/>
      <c r="P35" s="15">
        <v>0.25</v>
      </c>
      <c r="Q35" s="4"/>
    </row>
    <row r="36" spans="1:17" x14ac:dyDescent="0.25">
      <c r="A36" s="3">
        <v>31</v>
      </c>
      <c r="B36" s="4" t="s">
        <v>164</v>
      </c>
      <c r="C36" s="4" t="s">
        <v>165</v>
      </c>
      <c r="D36" s="3">
        <v>10</v>
      </c>
      <c r="E36" s="3">
        <f>20-F36</f>
        <v>13</v>
      </c>
      <c r="F36" s="5">
        <v>7</v>
      </c>
      <c r="G36" s="3">
        <f>IF(L36="","",F36*2.5)</f>
        <v>17.5</v>
      </c>
      <c r="H36" s="3">
        <f>20-I36</f>
        <v>2</v>
      </c>
      <c r="I36" s="5">
        <v>18</v>
      </c>
      <c r="J36" s="3">
        <f>IF(L36="","",I36*1.5)</f>
        <v>27</v>
      </c>
      <c r="K36" s="3">
        <f>10-L36</f>
        <v>6</v>
      </c>
      <c r="L36" s="5">
        <v>4</v>
      </c>
      <c r="M36" s="3">
        <f>IF(L36="","",L36*1)</f>
        <v>4</v>
      </c>
      <c r="N36" s="3">
        <f>ROUND(((G36+J36+M36)/90)*100,1)</f>
        <v>53.9</v>
      </c>
      <c r="O36" s="5"/>
      <c r="P36" s="15">
        <v>0.25</v>
      </c>
      <c r="Q36" s="4"/>
    </row>
    <row r="37" spans="1:17" x14ac:dyDescent="0.25">
      <c r="A37" s="3">
        <v>32</v>
      </c>
      <c r="B37" s="4" t="s">
        <v>23</v>
      </c>
      <c r="C37" s="4" t="s">
        <v>163</v>
      </c>
      <c r="D37" s="3">
        <v>10</v>
      </c>
      <c r="E37" s="3">
        <f>20-F37</f>
        <v>14</v>
      </c>
      <c r="F37" s="5">
        <v>6</v>
      </c>
      <c r="G37" s="3">
        <f>IF(L37="","",F37*2.5)</f>
        <v>15</v>
      </c>
      <c r="H37" s="3">
        <f>20-I37</f>
        <v>2</v>
      </c>
      <c r="I37" s="5">
        <v>18</v>
      </c>
      <c r="J37" s="3">
        <f>IF(L37="","",I37*1.5)</f>
        <v>27</v>
      </c>
      <c r="K37" s="3">
        <f>10-L37</f>
        <v>4</v>
      </c>
      <c r="L37" s="5">
        <v>6</v>
      </c>
      <c r="M37" s="3">
        <f>IF(L37="","",L37*1)</f>
        <v>6</v>
      </c>
      <c r="N37" s="3">
        <f>ROUND(((G37+J37+M37)/90)*100,1)</f>
        <v>53.3</v>
      </c>
      <c r="O37" s="5"/>
      <c r="P37" s="15">
        <v>0.25</v>
      </c>
      <c r="Q37" s="4" t="s">
        <v>24</v>
      </c>
    </row>
    <row r="38" spans="1:17" x14ac:dyDescent="0.25">
      <c r="A38" s="3">
        <v>33</v>
      </c>
      <c r="B38" s="4" t="s">
        <v>49</v>
      </c>
      <c r="C38" s="4" t="s">
        <v>50</v>
      </c>
      <c r="D38" s="3">
        <v>10</v>
      </c>
      <c r="E38" s="3">
        <f>20-F38</f>
        <v>12</v>
      </c>
      <c r="F38" s="5">
        <v>8</v>
      </c>
      <c r="G38" s="3">
        <f>IF(L38="","",F38*2.5)</f>
        <v>20</v>
      </c>
      <c r="H38" s="3">
        <f>20-I38</f>
        <v>2</v>
      </c>
      <c r="I38" s="5">
        <v>18</v>
      </c>
      <c r="J38" s="3">
        <f>IF(L38="","",I38*1.5)</f>
        <v>27</v>
      </c>
      <c r="K38" s="3">
        <f>10-L38</f>
        <v>9</v>
      </c>
      <c r="L38" s="5">
        <v>1</v>
      </c>
      <c r="M38" s="3">
        <f>IF(L38="","",L38*1)</f>
        <v>1</v>
      </c>
      <c r="N38" s="3">
        <f>ROUND(((G38+J38+M38)/90)*100,1)</f>
        <v>53.3</v>
      </c>
      <c r="O38" s="5"/>
      <c r="P38" s="15">
        <v>0.25</v>
      </c>
      <c r="Q38" s="4" t="s">
        <v>51</v>
      </c>
    </row>
    <row r="39" spans="1:17" x14ac:dyDescent="0.25">
      <c r="A39" s="3">
        <v>34</v>
      </c>
      <c r="B39" s="4" t="s">
        <v>54</v>
      </c>
      <c r="C39" s="4" t="s">
        <v>55</v>
      </c>
      <c r="D39" s="3">
        <v>10</v>
      </c>
      <c r="E39" s="3">
        <f>20-F39</f>
        <v>11</v>
      </c>
      <c r="F39" s="5">
        <v>9</v>
      </c>
      <c r="G39" s="3">
        <f>IF(L39="","",F39*2.5)</f>
        <v>22.5</v>
      </c>
      <c r="H39" s="3">
        <f>20-I39</f>
        <v>5</v>
      </c>
      <c r="I39" s="5">
        <v>15</v>
      </c>
      <c r="J39" s="3">
        <f>IF(L39="","",I39*1.5)</f>
        <v>22.5</v>
      </c>
      <c r="K39" s="3">
        <f>10-L39</f>
        <v>7</v>
      </c>
      <c r="L39" s="5">
        <v>3</v>
      </c>
      <c r="M39" s="3">
        <f>IF(L39="","",L39*1)</f>
        <v>3</v>
      </c>
      <c r="N39" s="3">
        <f>ROUND(((G39+J39+M39)/90)*100,1)</f>
        <v>53.3</v>
      </c>
      <c r="O39" s="5"/>
      <c r="P39" s="15">
        <v>0.25</v>
      </c>
      <c r="Q39" s="4" t="s">
        <v>56</v>
      </c>
    </row>
    <row r="40" spans="1:17" x14ac:dyDescent="0.25">
      <c r="A40" s="3">
        <v>35</v>
      </c>
      <c r="B40" s="4" t="s">
        <v>129</v>
      </c>
      <c r="C40" s="4" t="s">
        <v>130</v>
      </c>
      <c r="D40" s="3">
        <v>10</v>
      </c>
      <c r="E40" s="3">
        <f>20-F40</f>
        <v>13</v>
      </c>
      <c r="F40" s="5">
        <v>7</v>
      </c>
      <c r="G40" s="3">
        <f>IF(L40="","",F40*2.5)</f>
        <v>17.5</v>
      </c>
      <c r="H40" s="3">
        <f>20-I40</f>
        <v>3</v>
      </c>
      <c r="I40" s="5">
        <v>17</v>
      </c>
      <c r="J40" s="3">
        <f>IF(L40="","",I40*1.5)</f>
        <v>25.5</v>
      </c>
      <c r="K40" s="3">
        <f>10-L40</f>
        <v>5</v>
      </c>
      <c r="L40" s="5">
        <v>5</v>
      </c>
      <c r="M40" s="3">
        <f>IF(L40="","",L40*1)</f>
        <v>5</v>
      </c>
      <c r="N40" s="3">
        <f>ROUND(((G40+J40+M40)/90)*100,1)</f>
        <v>53.3</v>
      </c>
      <c r="O40" s="5"/>
      <c r="P40" s="15">
        <v>0.25</v>
      </c>
      <c r="Q40" s="4" t="s">
        <v>131</v>
      </c>
    </row>
    <row r="41" spans="1:17" x14ac:dyDescent="0.25">
      <c r="A41" s="3">
        <v>36</v>
      </c>
      <c r="B41" s="4" t="s">
        <v>137</v>
      </c>
      <c r="C41" s="4" t="s">
        <v>138</v>
      </c>
      <c r="D41" s="3">
        <v>10</v>
      </c>
      <c r="E41" s="3">
        <f>20-F41</f>
        <v>10</v>
      </c>
      <c r="F41" s="5">
        <v>10</v>
      </c>
      <c r="G41" s="3">
        <f>IF(L41="","",F41*2.5)</f>
        <v>25</v>
      </c>
      <c r="H41" s="3">
        <f>20-I41</f>
        <v>8</v>
      </c>
      <c r="I41" s="5">
        <v>12</v>
      </c>
      <c r="J41" s="3">
        <f>IF(L41="","",I41*1.5)</f>
        <v>18</v>
      </c>
      <c r="K41" s="3">
        <f>10-L41</f>
        <v>5</v>
      </c>
      <c r="L41" s="5">
        <v>5</v>
      </c>
      <c r="M41" s="3">
        <f>IF(L41="","",L41*1)</f>
        <v>5</v>
      </c>
      <c r="N41" s="3">
        <f>ROUND(((G41+J41+M41)/90)*100,1)</f>
        <v>53.3</v>
      </c>
      <c r="O41" s="5"/>
      <c r="P41" s="15">
        <v>0.25</v>
      </c>
      <c r="Q41" s="4" t="s">
        <v>139</v>
      </c>
    </row>
    <row r="42" spans="1:17" x14ac:dyDescent="0.25">
      <c r="A42" s="3">
        <v>37</v>
      </c>
      <c r="B42" s="4" t="s">
        <v>80</v>
      </c>
      <c r="C42" s="4" t="s">
        <v>183</v>
      </c>
      <c r="D42" s="3">
        <v>10</v>
      </c>
      <c r="E42" s="3">
        <f>20-F42</f>
        <v>12</v>
      </c>
      <c r="F42" s="5">
        <v>8</v>
      </c>
      <c r="G42" s="3">
        <f>IF(L42="","",F42*2.5)</f>
        <v>20</v>
      </c>
      <c r="H42" s="3">
        <f>20-I42</f>
        <v>6</v>
      </c>
      <c r="I42" s="5">
        <v>14</v>
      </c>
      <c r="J42" s="3">
        <f>IF(L42="","",I42*1.5)</f>
        <v>21</v>
      </c>
      <c r="K42" s="3">
        <f>10-L42</f>
        <v>4</v>
      </c>
      <c r="L42" s="5">
        <v>6</v>
      </c>
      <c r="M42" s="3">
        <f>IF(L42="","",L42*1)</f>
        <v>6</v>
      </c>
      <c r="N42" s="3">
        <f>ROUND(((G42+J42+M42)/90)*100,1)</f>
        <v>52.2</v>
      </c>
      <c r="O42" s="5"/>
      <c r="P42" s="15">
        <v>0.25</v>
      </c>
      <c r="Q42" s="4"/>
    </row>
    <row r="43" spans="1:17" x14ac:dyDescent="0.25">
      <c r="A43" s="3">
        <v>38</v>
      </c>
      <c r="B43" s="4" t="s">
        <v>65</v>
      </c>
      <c r="C43" s="4" t="s">
        <v>66</v>
      </c>
      <c r="D43" s="3">
        <v>10</v>
      </c>
      <c r="E43" s="3">
        <f>20-F43</f>
        <v>14</v>
      </c>
      <c r="F43" s="5">
        <v>6</v>
      </c>
      <c r="G43" s="3">
        <f>IF(L43="","",F43*2.5)</f>
        <v>15</v>
      </c>
      <c r="H43" s="3">
        <f>20-I43</f>
        <v>2</v>
      </c>
      <c r="I43" s="5">
        <v>18</v>
      </c>
      <c r="J43" s="3">
        <f>IF(L43="","",I43*1.5)</f>
        <v>27</v>
      </c>
      <c r="K43" s="3">
        <f>10-L43</f>
        <v>6</v>
      </c>
      <c r="L43" s="5">
        <v>4</v>
      </c>
      <c r="M43" s="3">
        <f>IF(L43="","",L43*1)</f>
        <v>4</v>
      </c>
      <c r="N43" s="3">
        <f>ROUND(((G43+J43+M43)/90)*100,1)</f>
        <v>51.1</v>
      </c>
      <c r="O43" s="5"/>
      <c r="P43" s="15">
        <v>0.25</v>
      </c>
      <c r="Q43" s="4" t="s">
        <v>67</v>
      </c>
    </row>
    <row r="44" spans="1:17" x14ac:dyDescent="0.25">
      <c r="A44" s="3">
        <v>39</v>
      </c>
      <c r="B44" s="4" t="s">
        <v>59</v>
      </c>
      <c r="C44" s="4" t="s">
        <v>60</v>
      </c>
      <c r="D44" s="3">
        <v>10</v>
      </c>
      <c r="E44" s="3">
        <f>20-F44</f>
        <v>12</v>
      </c>
      <c r="F44" s="5">
        <v>8</v>
      </c>
      <c r="G44" s="3">
        <f>IF(L44="","",F44*2.5)</f>
        <v>20</v>
      </c>
      <c r="H44" s="3">
        <f>20-I44</f>
        <v>4</v>
      </c>
      <c r="I44" s="5">
        <v>16</v>
      </c>
      <c r="J44" s="3">
        <f>IF(L44="","",I44*1.5)</f>
        <v>24</v>
      </c>
      <c r="K44" s="3">
        <f>10-L44</f>
        <v>9</v>
      </c>
      <c r="L44" s="5">
        <v>1</v>
      </c>
      <c r="M44" s="3">
        <f>IF(L44="","",L44*1)</f>
        <v>1</v>
      </c>
      <c r="N44" s="3">
        <f>ROUND(((G44+J44+M44)/90)*100,1)</f>
        <v>50</v>
      </c>
      <c r="O44" s="5"/>
      <c r="P44" s="15">
        <v>0.25</v>
      </c>
      <c r="Q44" s="4" t="s">
        <v>61</v>
      </c>
    </row>
    <row r="45" spans="1:17" x14ac:dyDescent="0.25">
      <c r="A45" s="3">
        <v>40</v>
      </c>
      <c r="B45" s="4" t="s">
        <v>77</v>
      </c>
      <c r="C45" s="4" t="s">
        <v>78</v>
      </c>
      <c r="D45" s="3">
        <v>10</v>
      </c>
      <c r="E45" s="3">
        <f>20-F45</f>
        <v>13</v>
      </c>
      <c r="F45" s="5">
        <v>7</v>
      </c>
      <c r="G45" s="3">
        <f>IF(L45="","",F45*2.5)</f>
        <v>17.5</v>
      </c>
      <c r="H45" s="3">
        <f>20-I45</f>
        <v>6</v>
      </c>
      <c r="I45" s="5">
        <v>14</v>
      </c>
      <c r="J45" s="3">
        <f>IF(L45="","",I45*1.5)</f>
        <v>21</v>
      </c>
      <c r="K45" s="3">
        <f>10-L45</f>
        <v>4</v>
      </c>
      <c r="L45" s="5">
        <v>6</v>
      </c>
      <c r="M45" s="3">
        <f>IF(L45="","",L45*1)</f>
        <v>6</v>
      </c>
      <c r="N45" s="3">
        <f>ROUND(((G45+J45+M45)/90)*100,1)</f>
        <v>49.4</v>
      </c>
      <c r="O45" s="5"/>
      <c r="P45" s="15">
        <v>0.2</v>
      </c>
      <c r="Q45" s="4" t="s">
        <v>79</v>
      </c>
    </row>
    <row r="46" spans="1:17" x14ac:dyDescent="0.25">
      <c r="A46" s="3">
        <v>41</v>
      </c>
      <c r="B46" s="4" t="s">
        <v>109</v>
      </c>
      <c r="C46" s="4" t="s">
        <v>110</v>
      </c>
      <c r="D46" s="3">
        <v>10</v>
      </c>
      <c r="E46" s="3">
        <f>20-F46</f>
        <v>13</v>
      </c>
      <c r="F46" s="5">
        <v>7</v>
      </c>
      <c r="G46" s="3">
        <f>IF(L46="","",F46*2.5)</f>
        <v>17.5</v>
      </c>
      <c r="H46" s="3">
        <f>20-I46</f>
        <v>7</v>
      </c>
      <c r="I46" s="5">
        <v>13</v>
      </c>
      <c r="J46" s="3">
        <f>IF(L46="","",I46*1.5)</f>
        <v>19.5</v>
      </c>
      <c r="K46" s="3">
        <f>10-L46</f>
        <v>3</v>
      </c>
      <c r="L46" s="5">
        <v>7</v>
      </c>
      <c r="M46" s="3">
        <f>IF(L46="","",L46*1)</f>
        <v>7</v>
      </c>
      <c r="N46" s="3">
        <f>ROUND(((G46+J46+M46)/90)*100,1)</f>
        <v>48.9</v>
      </c>
      <c r="O46" s="5"/>
      <c r="P46" s="15">
        <v>0.2</v>
      </c>
      <c r="Q46" s="4" t="s">
        <v>111</v>
      </c>
    </row>
    <row r="47" spans="1:17" x14ac:dyDescent="0.25">
      <c r="A47" s="3">
        <v>42</v>
      </c>
      <c r="B47" s="4" t="s">
        <v>68</v>
      </c>
      <c r="C47" s="4" t="s">
        <v>69</v>
      </c>
      <c r="D47" s="3">
        <v>10</v>
      </c>
      <c r="E47" s="3">
        <f>20-F47</f>
        <v>12</v>
      </c>
      <c r="F47" s="5">
        <v>8</v>
      </c>
      <c r="G47" s="3">
        <f>IF(L47="","",F47*2.5)</f>
        <v>20</v>
      </c>
      <c r="H47" s="3">
        <f>20-I47</f>
        <v>9</v>
      </c>
      <c r="I47" s="5">
        <v>11</v>
      </c>
      <c r="J47" s="3">
        <f>IF(L47="","",I47*1.5)</f>
        <v>16.5</v>
      </c>
      <c r="K47" s="3">
        <f>10-L47</f>
        <v>5</v>
      </c>
      <c r="L47" s="5">
        <v>5</v>
      </c>
      <c r="M47" s="3">
        <f>IF(L47="","",L47*1)</f>
        <v>5</v>
      </c>
      <c r="N47" s="3">
        <f>ROUND(((G47+J47+M47)/90)*100,1)</f>
        <v>46.1</v>
      </c>
      <c r="O47" s="5"/>
      <c r="P47" s="15">
        <v>0.2</v>
      </c>
      <c r="Q47" s="4" t="s">
        <v>70</v>
      </c>
    </row>
    <row r="48" spans="1:17" x14ac:dyDescent="0.25">
      <c r="A48" s="3">
        <v>43</v>
      </c>
      <c r="B48" s="4" t="s">
        <v>149</v>
      </c>
      <c r="C48" s="4" t="s">
        <v>150</v>
      </c>
      <c r="D48" s="3">
        <v>10</v>
      </c>
      <c r="E48" s="3">
        <f>20-F48</f>
        <v>15</v>
      </c>
      <c r="F48" s="5">
        <v>5</v>
      </c>
      <c r="G48" s="3">
        <f>IF(L48="","",F48*2.5)</f>
        <v>12.5</v>
      </c>
      <c r="H48" s="3">
        <f>20-I48</f>
        <v>2</v>
      </c>
      <c r="I48" s="5">
        <v>18</v>
      </c>
      <c r="J48" s="3">
        <f>IF(L48="","",I48*1.5)</f>
        <v>27</v>
      </c>
      <c r="K48" s="3">
        <f>10-L48</f>
        <v>8</v>
      </c>
      <c r="L48" s="5">
        <v>2</v>
      </c>
      <c r="M48" s="3">
        <f>IF(L48="","",L48*1)</f>
        <v>2</v>
      </c>
      <c r="N48" s="3">
        <f>ROUND(((G48+J48+M48)/90)*100,1)</f>
        <v>46.1</v>
      </c>
      <c r="O48" s="5"/>
      <c r="P48" s="15">
        <v>0.2</v>
      </c>
      <c r="Q48" s="4"/>
    </row>
    <row r="49" spans="1:17" x14ac:dyDescent="0.25">
      <c r="A49" s="3">
        <v>44</v>
      </c>
      <c r="B49" s="4" t="s">
        <v>176</v>
      </c>
      <c r="C49" s="4" t="s">
        <v>140</v>
      </c>
      <c r="D49" s="3">
        <v>10</v>
      </c>
      <c r="E49" s="3">
        <f>20-F49</f>
        <v>13</v>
      </c>
      <c r="F49" s="5">
        <v>7</v>
      </c>
      <c r="G49" s="3">
        <f>IF(L49="","",F49*2.5)</f>
        <v>17.5</v>
      </c>
      <c r="H49" s="3">
        <f>20-I49</f>
        <v>6</v>
      </c>
      <c r="I49" s="5">
        <v>14</v>
      </c>
      <c r="J49" s="3">
        <f>IF(L49="","",I49*1.5)</f>
        <v>21</v>
      </c>
      <c r="K49" s="3">
        <f>10-L49</f>
        <v>8</v>
      </c>
      <c r="L49" s="5">
        <v>2</v>
      </c>
      <c r="M49" s="3">
        <f>IF(L49="","",L49*1)</f>
        <v>2</v>
      </c>
      <c r="N49" s="3">
        <f>ROUND(((G49+J49+M49)/90)*100,1)</f>
        <v>45</v>
      </c>
      <c r="O49" s="5"/>
      <c r="P49" s="15">
        <v>0.2</v>
      </c>
      <c r="Q49" s="4" t="s">
        <v>141</v>
      </c>
    </row>
    <row r="50" spans="1:17" x14ac:dyDescent="0.25">
      <c r="A50" s="3">
        <v>45</v>
      </c>
      <c r="B50" s="4" t="s">
        <v>146</v>
      </c>
      <c r="C50" s="4" t="s">
        <v>147</v>
      </c>
      <c r="D50" s="3">
        <v>10</v>
      </c>
      <c r="E50" s="3">
        <f>20-F50</f>
        <v>16</v>
      </c>
      <c r="F50" s="5">
        <v>4</v>
      </c>
      <c r="G50" s="3">
        <f>IF(L50="","",F50*2.5)</f>
        <v>10</v>
      </c>
      <c r="H50" s="3">
        <f>20-I50</f>
        <v>3</v>
      </c>
      <c r="I50" s="5">
        <v>17</v>
      </c>
      <c r="J50" s="3">
        <f>IF(L50="","",I50*1.5)</f>
        <v>25.5</v>
      </c>
      <c r="K50" s="3">
        <f>10-L50</f>
        <v>5</v>
      </c>
      <c r="L50" s="5">
        <v>5</v>
      </c>
      <c r="M50" s="3">
        <f>IF(L50="","",L50*1)</f>
        <v>5</v>
      </c>
      <c r="N50" s="3">
        <f>ROUND(((G50+J50+M50)/90)*100,1)</f>
        <v>45</v>
      </c>
      <c r="O50" s="5"/>
      <c r="P50" s="15">
        <v>0.2</v>
      </c>
      <c r="Q50" s="4">
        <v>884192710</v>
      </c>
    </row>
    <row r="51" spans="1:17" x14ac:dyDescent="0.25">
      <c r="A51" s="3">
        <v>46</v>
      </c>
      <c r="B51" s="4" t="s">
        <v>161</v>
      </c>
      <c r="C51" s="4" t="s">
        <v>162</v>
      </c>
      <c r="D51" s="3">
        <v>10</v>
      </c>
      <c r="E51" s="3">
        <f>20-F51</f>
        <v>15</v>
      </c>
      <c r="F51" s="5">
        <v>5</v>
      </c>
      <c r="G51" s="3">
        <f>IF(L51="","",F51*2.5)</f>
        <v>12.5</v>
      </c>
      <c r="H51" s="3">
        <f>20-I51</f>
        <v>4</v>
      </c>
      <c r="I51" s="5">
        <v>16</v>
      </c>
      <c r="J51" s="3">
        <f>IF(L51="","",I51*1.5)</f>
        <v>24</v>
      </c>
      <c r="K51" s="3">
        <f>10-L51</f>
        <v>7</v>
      </c>
      <c r="L51" s="5">
        <v>3</v>
      </c>
      <c r="M51" s="3">
        <f>IF(L51="","",L51*1)</f>
        <v>3</v>
      </c>
      <c r="N51" s="3">
        <f>ROUND(((G51+J51+M51)/90)*100,1)</f>
        <v>43.9</v>
      </c>
      <c r="O51" s="5"/>
      <c r="P51" s="15">
        <v>0.2</v>
      </c>
      <c r="Q51" s="4"/>
    </row>
    <row r="52" spans="1:17" x14ac:dyDescent="0.25">
      <c r="A52" s="3">
        <v>47</v>
      </c>
      <c r="B52" s="4" t="s">
        <v>94</v>
      </c>
      <c r="C52" s="4" t="s">
        <v>95</v>
      </c>
      <c r="D52" s="3">
        <v>10</v>
      </c>
      <c r="E52" s="3">
        <f>20-F52</f>
        <v>15</v>
      </c>
      <c r="F52" s="5">
        <v>5</v>
      </c>
      <c r="G52" s="3">
        <f>IF(L52="","",F52*2.5)</f>
        <v>12.5</v>
      </c>
      <c r="H52" s="3">
        <f>20-I52</f>
        <v>4</v>
      </c>
      <c r="I52" s="5">
        <v>16</v>
      </c>
      <c r="J52" s="3">
        <f>IF(L52="","",I52*1.5)</f>
        <v>24</v>
      </c>
      <c r="K52" s="3">
        <f>10-L52</f>
        <v>8</v>
      </c>
      <c r="L52" s="5">
        <v>2</v>
      </c>
      <c r="M52" s="3">
        <f>IF(L52="","",L52*1)</f>
        <v>2</v>
      </c>
      <c r="N52" s="3">
        <f>ROUND(((G52+J52+M52)/90)*100,1)</f>
        <v>42.8</v>
      </c>
      <c r="O52" s="5"/>
      <c r="P52" s="15">
        <v>0.2</v>
      </c>
      <c r="Q52" s="4" t="s">
        <v>96</v>
      </c>
    </row>
    <row r="53" spans="1:17" x14ac:dyDescent="0.25">
      <c r="A53" s="3">
        <v>48</v>
      </c>
      <c r="B53" s="4" t="s">
        <v>117</v>
      </c>
      <c r="C53" s="4" t="s">
        <v>118</v>
      </c>
      <c r="D53" s="3">
        <v>10</v>
      </c>
      <c r="E53" s="3">
        <f>20-F53</f>
        <v>15</v>
      </c>
      <c r="F53" s="5">
        <v>5</v>
      </c>
      <c r="G53" s="3">
        <f>IF(L53="","",F53*2.5)</f>
        <v>12.5</v>
      </c>
      <c r="H53" s="3">
        <f>20-I53</f>
        <v>8</v>
      </c>
      <c r="I53" s="5">
        <v>12</v>
      </c>
      <c r="J53" s="3">
        <f>IF(L53="","",I53*1.5)</f>
        <v>18</v>
      </c>
      <c r="K53" s="3">
        <f>10-L53</f>
        <v>2</v>
      </c>
      <c r="L53" s="5">
        <v>8</v>
      </c>
      <c r="M53" s="3">
        <f>IF(L53="","",L53*1)</f>
        <v>8</v>
      </c>
      <c r="N53" s="3">
        <f>ROUND(((G53+J53+M53)/90)*100,1)</f>
        <v>42.8</v>
      </c>
      <c r="O53" s="5"/>
      <c r="P53" s="15">
        <v>0.2</v>
      </c>
      <c r="Q53" s="4" t="s">
        <v>119</v>
      </c>
    </row>
    <row r="54" spans="1:17" x14ac:dyDescent="0.25">
      <c r="A54" s="3">
        <v>49</v>
      </c>
      <c r="B54" s="4" t="s">
        <v>123</v>
      </c>
      <c r="C54" s="4" t="s">
        <v>124</v>
      </c>
      <c r="D54" s="3">
        <v>10</v>
      </c>
      <c r="E54" s="3">
        <f>20-F54</f>
        <v>13</v>
      </c>
      <c r="F54" s="5">
        <v>7</v>
      </c>
      <c r="G54" s="3">
        <f>IF(L54="","",F54*2.5)</f>
        <v>17.5</v>
      </c>
      <c r="H54" s="3">
        <f>20-I54</f>
        <v>8</v>
      </c>
      <c r="I54" s="5">
        <v>12</v>
      </c>
      <c r="J54" s="3">
        <f>IF(L54="","",I54*1.5)</f>
        <v>18</v>
      </c>
      <c r="K54" s="3">
        <f>10-L54</f>
        <v>7</v>
      </c>
      <c r="L54" s="5">
        <v>3</v>
      </c>
      <c r="M54" s="3">
        <f>IF(L54="","",L54*1)</f>
        <v>3</v>
      </c>
      <c r="N54" s="3">
        <f>ROUND(((G54+J54+M54)/90)*100,1)</f>
        <v>42.8</v>
      </c>
      <c r="O54" s="5"/>
      <c r="P54" s="15">
        <v>0.2</v>
      </c>
      <c r="Q54" s="4" t="s">
        <v>125</v>
      </c>
    </row>
    <row r="55" spans="1:17" x14ac:dyDescent="0.25">
      <c r="A55" s="3">
        <v>50</v>
      </c>
      <c r="B55" s="4" t="s">
        <v>74</v>
      </c>
      <c r="C55" s="4" t="s">
        <v>75</v>
      </c>
      <c r="D55" s="3">
        <v>10</v>
      </c>
      <c r="E55" s="3">
        <f>20-F55</f>
        <v>12</v>
      </c>
      <c r="F55" s="5">
        <v>8</v>
      </c>
      <c r="G55" s="3">
        <f>IF(L55="","",F55*2.5)</f>
        <v>20</v>
      </c>
      <c r="H55" s="3">
        <f>20-I55</f>
        <v>10</v>
      </c>
      <c r="I55" s="5">
        <v>10</v>
      </c>
      <c r="J55" s="3">
        <f>IF(L55="","",I55*1.5)</f>
        <v>15</v>
      </c>
      <c r="K55" s="3">
        <f>10-L55</f>
        <v>7</v>
      </c>
      <c r="L55" s="5">
        <v>3</v>
      </c>
      <c r="M55" s="3">
        <f>IF(L55="","",L55*1)</f>
        <v>3</v>
      </c>
      <c r="N55" s="3">
        <f>ROUND(((G55+J55+M55)/90)*100,1)</f>
        <v>42.2</v>
      </c>
      <c r="O55" s="5"/>
      <c r="P55" s="15">
        <v>0.2</v>
      </c>
      <c r="Q55" s="4" t="s">
        <v>76</v>
      </c>
    </row>
    <row r="56" spans="1:17" x14ac:dyDescent="0.25">
      <c r="A56" s="3">
        <v>51</v>
      </c>
      <c r="B56" s="4" t="s">
        <v>148</v>
      </c>
      <c r="C56" s="4" t="s">
        <v>81</v>
      </c>
      <c r="D56" s="3">
        <v>10</v>
      </c>
      <c r="E56" s="3">
        <f>20-F56</f>
        <v>15</v>
      </c>
      <c r="F56" s="5">
        <v>5</v>
      </c>
      <c r="G56" s="3">
        <f>IF(L56="","",F56*2.5)</f>
        <v>12.5</v>
      </c>
      <c r="H56" s="3">
        <f>20-I56</f>
        <v>5</v>
      </c>
      <c r="I56" s="5">
        <v>15</v>
      </c>
      <c r="J56" s="3">
        <f>IF(L56="","",I56*1.5)</f>
        <v>22.5</v>
      </c>
      <c r="K56" s="3">
        <f>10-L56</f>
        <v>7</v>
      </c>
      <c r="L56" s="5">
        <v>3</v>
      </c>
      <c r="M56" s="3">
        <f>IF(L56="","",L56*1)</f>
        <v>3</v>
      </c>
      <c r="N56" s="3">
        <f>ROUND(((G56+J56+M56)/90)*100,1)</f>
        <v>42.2</v>
      </c>
      <c r="O56" s="5"/>
      <c r="P56" s="15">
        <v>0.2</v>
      </c>
      <c r="Q56" s="4" t="s">
        <v>82</v>
      </c>
    </row>
    <row r="57" spans="1:17" x14ac:dyDescent="0.25">
      <c r="A57" s="3">
        <v>52</v>
      </c>
      <c r="B57" s="4" t="s">
        <v>31</v>
      </c>
      <c r="C57" s="4" t="s">
        <v>32</v>
      </c>
      <c r="D57" s="3">
        <v>10</v>
      </c>
      <c r="E57" s="3">
        <f>20-F57</f>
        <v>16</v>
      </c>
      <c r="F57" s="5">
        <v>4</v>
      </c>
      <c r="G57" s="3">
        <f>IF(L57="","",F57*2.5)</f>
        <v>10</v>
      </c>
      <c r="H57" s="3">
        <f>20-I57</f>
        <v>5</v>
      </c>
      <c r="I57" s="5">
        <v>15</v>
      </c>
      <c r="J57" s="3">
        <f>IF(L57="","",I57*1.5)</f>
        <v>22.5</v>
      </c>
      <c r="K57" s="3">
        <f>10-L57</f>
        <v>6</v>
      </c>
      <c r="L57" s="5">
        <v>4</v>
      </c>
      <c r="M57" s="3">
        <f>IF(L57="","",L57*1)</f>
        <v>4</v>
      </c>
      <c r="N57" s="3">
        <f>ROUND(((G57+J57+M57)/90)*100,1)</f>
        <v>40.6</v>
      </c>
      <c r="O57" s="5"/>
      <c r="P57" s="15">
        <v>0.2</v>
      </c>
      <c r="Q57" s="4" t="s">
        <v>33</v>
      </c>
    </row>
    <row r="58" spans="1:17" x14ac:dyDescent="0.25">
      <c r="A58" s="3">
        <v>53</v>
      </c>
      <c r="B58" s="4" t="s">
        <v>49</v>
      </c>
      <c r="C58" s="4" t="s">
        <v>52</v>
      </c>
      <c r="D58" s="3">
        <v>10</v>
      </c>
      <c r="E58" s="3">
        <f>20-F58</f>
        <v>16</v>
      </c>
      <c r="F58" s="5">
        <v>4</v>
      </c>
      <c r="G58" s="3">
        <f>IF(L58="","",F58*2.5)</f>
        <v>10</v>
      </c>
      <c r="H58" s="3">
        <f>20-I58</f>
        <v>3</v>
      </c>
      <c r="I58" s="5">
        <v>17</v>
      </c>
      <c r="J58" s="3">
        <f>IF(L58="","",I58*1.5)</f>
        <v>25.5</v>
      </c>
      <c r="K58" s="3">
        <f>10-L58</f>
        <v>9</v>
      </c>
      <c r="L58" s="5">
        <v>1</v>
      </c>
      <c r="M58" s="3">
        <f>IF(L58="","",L58*1)</f>
        <v>1</v>
      </c>
      <c r="N58" s="3">
        <f>ROUND(((G58+J58+M58)/90)*100,1)</f>
        <v>40.6</v>
      </c>
      <c r="O58" s="5"/>
      <c r="P58" s="15">
        <v>0.2</v>
      </c>
      <c r="Q58" s="4" t="s">
        <v>53</v>
      </c>
    </row>
    <row r="59" spans="1:17" x14ac:dyDescent="0.25">
      <c r="A59" s="3">
        <v>54</v>
      </c>
      <c r="B59" s="4" t="s">
        <v>170</v>
      </c>
      <c r="C59" s="4" t="s">
        <v>41</v>
      </c>
      <c r="D59" s="3">
        <v>10</v>
      </c>
      <c r="E59" s="3">
        <f>20-F59</f>
        <v>14</v>
      </c>
      <c r="F59" s="5">
        <v>6</v>
      </c>
      <c r="G59" s="3">
        <f>IF(L59="","",F59*2.5)</f>
        <v>15</v>
      </c>
      <c r="H59" s="3">
        <f>20-I59</f>
        <v>8</v>
      </c>
      <c r="I59" s="5">
        <v>12</v>
      </c>
      <c r="J59" s="3">
        <f>IF(L59="","",I59*1.5)</f>
        <v>18</v>
      </c>
      <c r="K59" s="3">
        <f>10-L59</f>
        <v>7</v>
      </c>
      <c r="L59" s="5">
        <v>3</v>
      </c>
      <c r="M59" s="3">
        <f>IF(L59="","",L59*1)</f>
        <v>3</v>
      </c>
      <c r="N59" s="3">
        <f>ROUND(((G59+J59+M59)/90)*100,1)</f>
        <v>40</v>
      </c>
      <c r="O59" s="5"/>
      <c r="P59" s="15">
        <v>0.2</v>
      </c>
      <c r="Q59" s="4"/>
    </row>
    <row r="60" spans="1:17" x14ac:dyDescent="0.25">
      <c r="A60" s="3">
        <v>55</v>
      </c>
      <c r="B60" s="4" t="s">
        <v>91</v>
      </c>
      <c r="C60" s="4" t="s">
        <v>92</v>
      </c>
      <c r="D60" s="3">
        <v>10</v>
      </c>
      <c r="E60" s="3">
        <f>20-F60</f>
        <v>14</v>
      </c>
      <c r="F60" s="5">
        <v>6</v>
      </c>
      <c r="G60" s="3">
        <f>IF(L60="","",F60*2.5)</f>
        <v>15</v>
      </c>
      <c r="H60" s="3">
        <f>20-I60</f>
        <v>11</v>
      </c>
      <c r="I60" s="5">
        <v>9</v>
      </c>
      <c r="J60" s="3">
        <f>IF(L60="","",I60*1.5)</f>
        <v>13.5</v>
      </c>
      <c r="K60" s="3">
        <f>10-L60</f>
        <v>3</v>
      </c>
      <c r="L60" s="5">
        <v>7</v>
      </c>
      <c r="M60" s="3">
        <f>IF(L60="","",L60*1)</f>
        <v>7</v>
      </c>
      <c r="N60" s="3">
        <f>ROUND(((G60+J60+M60)/90)*100,1)</f>
        <v>39.4</v>
      </c>
      <c r="O60" s="5"/>
      <c r="P60" s="15">
        <v>0.2</v>
      </c>
      <c r="Q60" s="4" t="s">
        <v>93</v>
      </c>
    </row>
    <row r="61" spans="1:17" x14ac:dyDescent="0.25">
      <c r="A61" s="3">
        <v>56</v>
      </c>
      <c r="B61" s="4" t="s">
        <v>175</v>
      </c>
      <c r="C61" s="4" t="s">
        <v>115</v>
      </c>
      <c r="D61" s="3">
        <v>10</v>
      </c>
      <c r="E61" s="3">
        <f>20-F61</f>
        <v>18</v>
      </c>
      <c r="F61" s="5">
        <v>2</v>
      </c>
      <c r="G61" s="3">
        <f>IF(L61="","",F61*2.5)</f>
        <v>5</v>
      </c>
      <c r="H61" s="3">
        <f>20-I61</f>
        <v>5</v>
      </c>
      <c r="I61" s="5">
        <v>15</v>
      </c>
      <c r="J61" s="3">
        <f>IF(L61="","",I61*1.5)</f>
        <v>22.5</v>
      </c>
      <c r="K61" s="3">
        <f>10-L61</f>
        <v>3</v>
      </c>
      <c r="L61" s="5">
        <v>7</v>
      </c>
      <c r="M61" s="3">
        <f>IF(L61="","",L61*1)</f>
        <v>7</v>
      </c>
      <c r="N61" s="3">
        <f>ROUND(((G61+J61+M61)/90)*100,1)</f>
        <v>38.299999999999997</v>
      </c>
      <c r="O61" s="5"/>
      <c r="P61" s="15">
        <v>0.2</v>
      </c>
      <c r="Q61" s="4" t="s">
        <v>116</v>
      </c>
    </row>
    <row r="62" spans="1:17" x14ac:dyDescent="0.25">
      <c r="A62" s="3">
        <v>57</v>
      </c>
      <c r="B62" s="4" t="s">
        <v>100</v>
      </c>
      <c r="C62" s="4" t="s">
        <v>101</v>
      </c>
      <c r="D62" s="3">
        <v>10</v>
      </c>
      <c r="E62" s="3">
        <f>20-F62</f>
        <v>15</v>
      </c>
      <c r="F62" s="5">
        <v>5</v>
      </c>
      <c r="G62" s="3">
        <f>IF(L62="","",F62*2.5)</f>
        <v>12.5</v>
      </c>
      <c r="H62" s="3">
        <f>20-I62</f>
        <v>7</v>
      </c>
      <c r="I62" s="5">
        <v>13</v>
      </c>
      <c r="J62" s="3">
        <f>IF(L62="","",I62*1.5)</f>
        <v>19.5</v>
      </c>
      <c r="K62" s="3">
        <f>10-L62</f>
        <v>9</v>
      </c>
      <c r="L62" s="5">
        <v>1</v>
      </c>
      <c r="M62" s="3">
        <f>IF(L62="","",L62*1)</f>
        <v>1</v>
      </c>
      <c r="N62" s="3">
        <f>ROUND(((G62+J62+M62)/90)*100,1)</f>
        <v>36.700000000000003</v>
      </c>
      <c r="O62" s="5"/>
      <c r="P62" s="15">
        <v>0.2</v>
      </c>
      <c r="Q62" s="4" t="s">
        <v>102</v>
      </c>
    </row>
    <row r="63" spans="1:17" x14ac:dyDescent="0.25">
      <c r="A63" s="3">
        <v>58</v>
      </c>
      <c r="B63" s="4" t="s">
        <v>159</v>
      </c>
      <c r="C63" s="4" t="s">
        <v>160</v>
      </c>
      <c r="D63" s="3">
        <v>10</v>
      </c>
      <c r="E63" s="3">
        <f>20-F63</f>
        <v>16</v>
      </c>
      <c r="F63" s="5">
        <v>4</v>
      </c>
      <c r="G63" s="3">
        <f>IF(L63="","",F63*2.5)</f>
        <v>10</v>
      </c>
      <c r="H63" s="3">
        <f>20-I63</f>
        <v>10</v>
      </c>
      <c r="I63" s="5">
        <v>10</v>
      </c>
      <c r="J63" s="3">
        <f>IF(L63="","",I63*1.5)</f>
        <v>15</v>
      </c>
      <c r="K63" s="3">
        <f>10-L63</f>
        <v>4</v>
      </c>
      <c r="L63" s="5">
        <v>6</v>
      </c>
      <c r="M63" s="3">
        <f>IF(L63="","",L63*1)</f>
        <v>6</v>
      </c>
      <c r="N63" s="3">
        <f>ROUND(((G63+J63+M63)/90)*100,1)</f>
        <v>34.4</v>
      </c>
      <c r="O63" s="5"/>
      <c r="P63" s="15">
        <v>0.2</v>
      </c>
      <c r="Q63" s="4"/>
    </row>
    <row r="64" spans="1:17" x14ac:dyDescent="0.25">
      <c r="A64" s="3">
        <v>59</v>
      </c>
      <c r="B64" s="4" t="s">
        <v>168</v>
      </c>
      <c r="C64" s="4" t="s">
        <v>169</v>
      </c>
      <c r="D64" s="3">
        <v>10</v>
      </c>
      <c r="E64" s="3">
        <f>20-F64</f>
        <v>14</v>
      </c>
      <c r="F64" s="5">
        <v>6</v>
      </c>
      <c r="G64" s="3">
        <f>IF(L64="","",F64*2.5)</f>
        <v>15</v>
      </c>
      <c r="H64" s="3">
        <f>20-I64</f>
        <v>11</v>
      </c>
      <c r="I64" s="5">
        <v>9</v>
      </c>
      <c r="J64" s="3">
        <f>IF(L64="","",I64*1.5)</f>
        <v>13.5</v>
      </c>
      <c r="K64" s="3">
        <f>10-L64</f>
        <v>8</v>
      </c>
      <c r="L64" s="5">
        <v>2</v>
      </c>
      <c r="M64" s="3">
        <f>IF(L64="","",L64*1)</f>
        <v>2</v>
      </c>
      <c r="N64" s="3">
        <f>ROUND(((G64+J64+M64)/90)*100,1)</f>
        <v>33.9</v>
      </c>
      <c r="O64" s="5"/>
      <c r="P64" s="15">
        <v>0.2</v>
      </c>
      <c r="Q64" s="4"/>
    </row>
    <row r="65" spans="1:17" x14ac:dyDescent="0.25">
      <c r="A65" s="3">
        <v>60</v>
      </c>
      <c r="B65" s="4" t="s">
        <v>106</v>
      </c>
      <c r="C65" s="4" t="s">
        <v>107</v>
      </c>
      <c r="D65" s="3">
        <v>10</v>
      </c>
      <c r="E65" s="3">
        <f>20-F65</f>
        <v>15</v>
      </c>
      <c r="F65" s="5">
        <v>5</v>
      </c>
      <c r="G65" s="3">
        <f>IF(L65="","",F65*2.5)</f>
        <v>12.5</v>
      </c>
      <c r="H65" s="3">
        <f>20-I65</f>
        <v>11</v>
      </c>
      <c r="I65" s="5">
        <v>9</v>
      </c>
      <c r="J65" s="3">
        <f>IF(L65="","",I65*1.5)</f>
        <v>13.5</v>
      </c>
      <c r="K65" s="3">
        <f>10-L65</f>
        <v>9</v>
      </c>
      <c r="L65" s="5">
        <v>1</v>
      </c>
      <c r="M65" s="3">
        <f>IF(L65="","",L65*1)</f>
        <v>1</v>
      </c>
      <c r="N65" s="3">
        <f>ROUND(((G65+J65+M65)/90)*100,1)</f>
        <v>30</v>
      </c>
      <c r="O65" s="5"/>
      <c r="P65" s="15">
        <v>0.2</v>
      </c>
      <c r="Q65" s="4" t="s">
        <v>108</v>
      </c>
    </row>
    <row r="66" spans="1:17" x14ac:dyDescent="0.25">
      <c r="A66" s="3">
        <v>61</v>
      </c>
      <c r="B66" s="4" t="s">
        <v>171</v>
      </c>
      <c r="C66" s="4" t="s">
        <v>172</v>
      </c>
      <c r="D66" s="3">
        <v>10</v>
      </c>
      <c r="E66" s="3">
        <f>20-F66</f>
        <v>16</v>
      </c>
      <c r="F66" s="5">
        <v>4</v>
      </c>
      <c r="G66" s="3">
        <f>IF(L66="","",F66*2.5)</f>
        <v>10</v>
      </c>
      <c r="H66" s="3">
        <f>20-I66</f>
        <v>13</v>
      </c>
      <c r="I66" s="5">
        <v>7</v>
      </c>
      <c r="J66" s="3">
        <f>IF(L66="","",I66*1.5)</f>
        <v>10.5</v>
      </c>
      <c r="K66" s="3">
        <f>10-L66</f>
        <v>4</v>
      </c>
      <c r="L66" s="5">
        <v>6</v>
      </c>
      <c r="M66" s="3">
        <f>IF(L66="","",L66*1)</f>
        <v>6</v>
      </c>
      <c r="N66" s="3">
        <f>ROUND(((G66+J66+M66)/90)*100,1)</f>
        <v>29.4</v>
      </c>
      <c r="O66" s="5"/>
      <c r="P66" s="15">
        <v>0.1</v>
      </c>
      <c r="Q66" s="4"/>
    </row>
    <row r="67" spans="1:17" x14ac:dyDescent="0.25">
      <c r="A67" s="3">
        <v>62</v>
      </c>
      <c r="B67" s="4" t="s">
        <v>46</v>
      </c>
      <c r="C67" s="4" t="s">
        <v>47</v>
      </c>
      <c r="D67" s="3">
        <v>10</v>
      </c>
      <c r="E67" s="3">
        <f>20-F67</f>
        <v>17</v>
      </c>
      <c r="F67" s="5">
        <v>3</v>
      </c>
      <c r="G67" s="3">
        <f>IF(L67="","",F67*2.5)</f>
        <v>7.5</v>
      </c>
      <c r="H67" s="3">
        <f>20-I67</f>
        <v>12</v>
      </c>
      <c r="I67" s="5">
        <v>8</v>
      </c>
      <c r="J67" s="3">
        <f>IF(L67="","",I67*1.5)</f>
        <v>12</v>
      </c>
      <c r="K67" s="3">
        <f>10-L67</f>
        <v>6</v>
      </c>
      <c r="L67" s="5">
        <v>4</v>
      </c>
      <c r="M67" s="3">
        <f>IF(L67="","",L67*1)</f>
        <v>4</v>
      </c>
      <c r="N67" s="3">
        <f>ROUND(((G67+J67+M67)/90)*100,1)</f>
        <v>26.1</v>
      </c>
      <c r="O67" s="5"/>
      <c r="P67" s="15">
        <v>0.1</v>
      </c>
      <c r="Q67" s="4" t="s">
        <v>48</v>
      </c>
    </row>
    <row r="68" spans="1:17" x14ac:dyDescent="0.25">
      <c r="A68" s="3">
        <v>63</v>
      </c>
      <c r="B68" s="4" t="s">
        <v>71</v>
      </c>
      <c r="C68" s="4" t="s">
        <v>72</v>
      </c>
      <c r="D68" s="3">
        <v>10</v>
      </c>
      <c r="E68" s="3">
        <f>20-F68</f>
        <v>16</v>
      </c>
      <c r="F68" s="5">
        <v>4</v>
      </c>
      <c r="G68" s="3">
        <f>IF(L68="","",F68*2.5)</f>
        <v>10</v>
      </c>
      <c r="H68" s="3">
        <f>20-I68</f>
        <v>14</v>
      </c>
      <c r="I68" s="5">
        <v>6</v>
      </c>
      <c r="J68" s="3">
        <f>IF(L68="","",I68*1.5)</f>
        <v>9</v>
      </c>
      <c r="K68" s="3">
        <f>10-L68</f>
        <v>7</v>
      </c>
      <c r="L68" s="5">
        <v>3</v>
      </c>
      <c r="M68" s="3">
        <f>IF(L68="","",L68*1)</f>
        <v>3</v>
      </c>
      <c r="N68" s="3">
        <f>ROUND(((G68+J68+M68)/90)*100,1)</f>
        <v>24.4</v>
      </c>
      <c r="O68" s="5"/>
      <c r="P68" s="15">
        <v>0.1</v>
      </c>
      <c r="Q68" s="4" t="s">
        <v>73</v>
      </c>
    </row>
    <row r="69" spans="1:17" x14ac:dyDescent="0.25">
      <c r="A69" s="3">
        <v>64</v>
      </c>
      <c r="B69" s="4" t="s">
        <v>40</v>
      </c>
      <c r="C69" s="4" t="s">
        <v>41</v>
      </c>
      <c r="D69" s="3">
        <v>10</v>
      </c>
      <c r="E69" s="3">
        <f>20-F69</f>
        <v>16</v>
      </c>
      <c r="F69" s="5">
        <v>4</v>
      </c>
      <c r="G69" s="3">
        <f>IF(L69="","",F69*2.5)</f>
        <v>10</v>
      </c>
      <c r="H69" s="3">
        <f>20-I69</f>
        <v>17</v>
      </c>
      <c r="I69" s="5">
        <v>3</v>
      </c>
      <c r="J69" s="3">
        <f>IF(L69="","",I69*1.5)</f>
        <v>4.5</v>
      </c>
      <c r="K69" s="3">
        <f>10-L69</f>
        <v>4</v>
      </c>
      <c r="L69" s="5">
        <v>6</v>
      </c>
      <c r="M69" s="3">
        <f>IF(L69="","",L69*1)</f>
        <v>6</v>
      </c>
      <c r="N69" s="3">
        <f>ROUND(((G69+J69+M69)/90)*100,1)</f>
        <v>22.8</v>
      </c>
      <c r="O69" s="5"/>
      <c r="P69" s="15">
        <v>0.1</v>
      </c>
      <c r="Q69" s="4"/>
    </row>
    <row r="70" spans="1:17" x14ac:dyDescent="0.25">
      <c r="G70" s="3" t="str">
        <f>IF(L70="","",F70*2.5)</f>
        <v/>
      </c>
    </row>
    <row r="71" spans="1:17" x14ac:dyDescent="0.25">
      <c r="B71" s="6" t="s">
        <v>142</v>
      </c>
    </row>
  </sheetData>
  <autoFilter ref="N5:N69" xr:uid="{00000000-0001-0000-0000-000000000000}">
    <sortState xmlns:xlrd2="http://schemas.microsoft.com/office/spreadsheetml/2017/richdata2" ref="A6:Q71">
      <sortCondition descending="1" ref="N5:N69"/>
    </sortState>
  </autoFilter>
  <mergeCells count="7">
    <mergeCell ref="A1:C3"/>
    <mergeCell ref="D1:Q1"/>
    <mergeCell ref="D2:Q2"/>
    <mergeCell ref="D3:Q3"/>
    <mergeCell ref="E4:G4"/>
    <mergeCell ref="H4:J4"/>
    <mergeCell ref="K4:M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10-SINF</vt:lpstr>
      <vt:lpstr>'10-SINF'!Print_Titles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AdminICT</cp:lastModifiedBy>
  <cp:revision>0</cp:revision>
  <dcterms:created xsi:type="dcterms:W3CDTF">2026-08-15T07:27:56Z</dcterms:created>
  <dcterms:modified xsi:type="dcterms:W3CDTF">2026-08-15T12:10:40Z</dcterms:modified>
  <dc:language>en-US</dc:language>
</cp:coreProperties>
</file>